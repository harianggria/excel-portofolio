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9A82082A-9D5B-4C6A-B4F0-122105033BAE}" xr6:coauthVersionLast="47" xr6:coauthVersionMax="47" xr10:uidLastSave="{00000000-0000-0000-0000-000000000000}"/>
  <bookViews>
    <workbookView xWindow="-108" yWindow="-108" windowWidth="23256" windowHeight="12456" activeTab="3" xr2:uid="{00000000-000D-0000-FFFF-FFFF00000000}"/>
  </bookViews>
  <sheets>
    <sheet name="Product_Master" sheetId="6" r:id="rId1"/>
    <sheet name="Orders_June" sheetId="7" r:id="rId2"/>
    <sheet name="Orders_July" sheetId="8" r:id="rId3"/>
    <sheet name="Cleaned_Orders" sheetId="9" r:id="rId4"/>
    <sheet name="Category_Summary" sheetId="11" r:id="rId5"/>
    <sheet name="Issued_log" sheetId="10" r:id="rId6"/>
    <sheet name="M6 Assignment Brief" sheetId="1" r:id="rId7"/>
    <sheet name="M6 Assignment Steps" sheetId="2" r:id="rId8"/>
    <sheet name="M6 Formula Hints" sheetId="3" r:id="rId9"/>
    <sheet name="M6 Submission Checklist" sheetId="4" r:id="rId10"/>
    <sheet name="M6 Business Questions" sheetId="5" r:id="rId11"/>
  </sheets>
  <definedNames>
    <definedName name="ExternalData_1" localSheetId="3" hidden="1">'Cleaned_Orders'!$A$1:$T$67</definedName>
    <definedName name="ExternalData_1" localSheetId="5" hidden="1">Issued_log!$A$1:$S$19</definedName>
    <definedName name="ExternalData_1" localSheetId="0" hidden="1">Product_Master!$A$1:$E$9</definedName>
    <definedName name="ExternalData_2" localSheetId="4" hidden="1">'Category_Summary'!$A$1:$E$5</definedName>
    <definedName name="ExternalData_2" localSheetId="1" hidden="1">Orders_June!$A$1:$J$34</definedName>
    <definedName name="ExternalData_3" localSheetId="2" hidden="1">Orders_July!$A$1:$J$34</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83C2B8-D9FC-4FB3-8D3D-B83BC16E1007}" keepAlive="1" name="Query - Category_Summary" description="Connection to the 'Category_Summary' query in the workbook." type="5" refreshedVersion="8" background="1" saveData="1">
    <dbPr connection="Provider=Microsoft.Mashup.OleDb.1;Data Source=$Workbook$;Location=Category_Summary;Extended Properties=&quot;&quot;" command="SELECT * FROM [Category_Summary]"/>
  </connection>
  <connection id="2" xr16:uid="{98CD1EF3-75D0-4977-951D-1AB6A488EDE0}" keepAlive="1" name="Query - Cleaned_Orders" description="Connection to the 'Cleaned_Orders' query in the workbook." type="5" refreshedVersion="8" background="1" saveData="1">
    <dbPr connection="Provider=Microsoft.Mashup.OleDb.1;Data Source=$Workbook$;Location=Cleaned_Orders;Extended Properties=&quot;&quot;" command="SELECT * FROM [Cleaned_Orders]"/>
  </connection>
  <connection id="3" xr16:uid="{71F8CE4D-4A10-40CE-943A-971094393E9D}" keepAlive="1" name="Query - Issued_log" description="Connection to the 'Issued_log' query in the workbook." type="5" refreshedVersion="8" background="1" saveData="1">
    <dbPr connection="Provider=Microsoft.Mashup.OleDb.1;Data Source=$Workbook$;Location=Issued_log;Extended Properties=&quot;&quot;" command="SELECT * FROM [Issued_log]"/>
  </connection>
  <connection id="4" xr16:uid="{779AFBD0-8B23-4DBA-BDE7-B4F0B55AD89D}" keepAlive="1" name="Query - Orders_July" description="Connection to the 'Orders_July' query in the workbook." type="5" refreshedVersion="8" background="1" saveData="1">
    <dbPr connection="Provider=Microsoft.Mashup.OleDb.1;Data Source=$Workbook$;Location=Orders_July;Extended Properties=&quot;&quot;" command="SELECT * FROM [Orders_July]"/>
  </connection>
  <connection id="5" xr16:uid="{F7C699D8-8E72-45D6-80BA-80D921050963}" keepAlive="1" name="Query - Orders_June" description="Connection to the 'Orders_June' query in the workbook." type="5" refreshedVersion="8" background="1" saveData="1">
    <dbPr connection="Provider=Microsoft.Mashup.OleDb.1;Data Source=$Workbook$;Location=Orders_June;Extended Properties=&quot;&quot;" command="SELECT * FROM [Orders_June]"/>
  </connection>
  <connection id="6" xr16:uid="{8BAA115F-E38E-4DA2-A420-158E5945899A}" keepAlive="1" name="Query - Product_Master" description="Connection to the 'Product_Master' query in the workbook." type="5" refreshedVersion="8" background="1" saveData="1">
    <dbPr connection="Provider=Microsoft.Mashup.OleDb.1;Data Source=$Workbook$;Location=Product_Master;Extended Properties=&quot;&quot;" command="SELECT * FROM [Product_Master]"/>
  </connection>
</connections>
</file>

<file path=xl/sharedStrings.xml><?xml version="1.0" encoding="utf-8"?>
<sst xmlns="http://schemas.openxmlformats.org/spreadsheetml/2006/main" count="1603" uniqueCount="304">
  <si>
    <t>Meeting 6 Assignment - Advanced Power Query</t>
  </si>
  <si>
    <t>Complete this assignment independently if you cannot attend the live session. Use the source workbook provided in the same folder.</t>
  </si>
  <si>
    <t>Assignment Item</t>
  </si>
  <si>
    <t>Details</t>
  </si>
  <si>
    <t>Estimated Time</t>
  </si>
  <si>
    <t>60 minutes</t>
  </si>
  <si>
    <t>Source File</t>
  </si>
  <si>
    <t>meeting-6-power-query-source.xlsx</t>
  </si>
  <si>
    <t>Tables To Use</t>
  </si>
  <si>
    <t>Orders_June, Orders_July, Product_Master</t>
  </si>
  <si>
    <t>Main Goal</t>
  </si>
  <si>
    <t>Create a repeatable Power Query workflow that cleans, combines, audits, and summarizes sales data.</t>
  </si>
  <si>
    <t>Submission</t>
  </si>
  <si>
    <t>Submit the completed student workbook with screenshots or pasted outputs if your Excel cannot load query results into this workbook.</t>
  </si>
  <si>
    <t>What You Need To Build</t>
  </si>
  <si>
    <t>Output</t>
  </si>
  <si>
    <t>What It Should Contain</t>
  </si>
  <si>
    <t>Cleaned_Orders</t>
  </si>
  <si>
    <t>One clean table from June and July source data.</t>
  </si>
  <si>
    <t>Order_Issue_Log</t>
  </si>
  <si>
    <t>A review table showing missing product, date, quantity, revenue, duplicate, and revenue mismatch issues.</t>
  </si>
  <si>
    <t>Category_Summary</t>
  </si>
  <si>
    <t>Revenue, profit, orders, and margin by category.</t>
  </si>
  <si>
    <t>Mac Workflow</t>
  </si>
  <si>
    <t>Step</t>
  </si>
  <si>
    <t>Instruction</t>
  </si>
  <si>
    <t>1</t>
  </si>
  <si>
    <t>Data &gt; Get Data / Power Query &gt; Excel workbook.</t>
  </si>
  <si>
    <t>2</t>
  </si>
  <si>
    <t>Select meeting-6-power-query-source.xlsx.</t>
  </si>
  <si>
    <t>3</t>
  </si>
  <si>
    <t>Import Orders_June, Orders_July, and Product_Master.</t>
  </si>
  <si>
    <t>4</t>
  </si>
  <si>
    <t>Transform each order table: headers, data types, text cleaning, date cleaning, quantity cleaning, and revenue cleaning.</t>
  </si>
  <si>
    <t>5</t>
  </si>
  <si>
    <t>Append the two monthly order tables.</t>
  </si>
  <si>
    <t>6</t>
  </si>
  <si>
    <t>Merge with Product_Master.</t>
  </si>
  <si>
    <t>7</t>
  </si>
  <si>
    <t>Add custom columns: Expected Revenue, Revenue Difference, Profit, and Quality Flag.</t>
  </si>
  <si>
    <t>8</t>
  </si>
  <si>
    <t>Duplicate/reference the final query to create issue log and category summary.</t>
  </si>
  <si>
    <t>9</t>
  </si>
  <si>
    <t>Answer the questions in M6 Business Questions.</t>
  </si>
  <si>
    <t>M6 Assignment Steps</t>
  </si>
  <si>
    <t>Follow each task in order. Mark your progress in the Student Check column.</t>
  </si>
  <si>
    <t>Task</t>
  </si>
  <si>
    <t>Power Query Action</t>
  </si>
  <si>
    <t>Question To Check Your Work</t>
  </si>
  <si>
    <t>Student Check</t>
  </si>
  <si>
    <t>1. Import</t>
  </si>
  <si>
    <t>Import Orders_June, Orders_July, and Product_Master from the source workbook.</t>
  </si>
  <si>
    <t>Do you see 3 queries in Power Query?</t>
  </si>
  <si>
    <t>2. Headers</t>
  </si>
  <si>
    <t>Make sure the first row is used as headers and column names are readable.</t>
  </si>
  <si>
    <t>Do both order tables have the same column names?</t>
  </si>
  <si>
    <t>3. Clean text</t>
  </si>
  <si>
    <t>Trim/Clean text fields. Capitalize Customer Name, Region, Channel, Status. Uppercase Product ID.</t>
  </si>
  <si>
    <t>Can Product ID match Product_Master after cleaning?</t>
  </si>
  <si>
    <t>4. Clean date</t>
  </si>
  <si>
    <t>Change Order Date to Date. If errors appear, replace errors with null.</t>
  </si>
  <si>
    <t>Can the date column be grouped by month later?</t>
  </si>
  <si>
    <t>5. Clean quantity</t>
  </si>
  <si>
    <t>Remove text such as 'pcs', trim values, and convert Quantity to Whole Number.</t>
  </si>
  <si>
    <t>Are blank, text, or negative quantities handled?</t>
  </si>
  <si>
    <t>6. Clean revenue</t>
  </si>
  <si>
    <t>Remove Rp, spaces, dots/commas, then convert Revenue to Whole Number.</t>
  </si>
  <si>
    <t>Is Revenue now numeric instead of text?</t>
  </si>
  <si>
    <t>7. Append</t>
  </si>
  <si>
    <t>Append Orders_June and Orders_July into one query named Cleaned_Orders draft.</t>
  </si>
  <si>
    <t>Do June and July rows appear in one table?</t>
  </si>
  <si>
    <t>8. Merge product</t>
  </si>
  <si>
    <t>Merge with Product_Master using Product ID. Expand Product Name, Category, Standard Price, and Unit Cost.</t>
  </si>
  <si>
    <t>Are missing products visible after the merge?</t>
  </si>
  <si>
    <t>9. Add custom columns</t>
  </si>
  <si>
    <t>Add Expected Revenue, Revenue Difference, Profit, and Quality Flag.</t>
  </si>
  <si>
    <t>Can you explain why each flag appears?</t>
  </si>
  <si>
    <t>10. Issue log</t>
  </si>
  <si>
    <t>Reference or duplicate Cleaned_Orders, then filter Quality Flag not equal to Clean.</t>
  </si>
  <si>
    <t>Does this table only show rows that need review?</t>
  </si>
  <si>
    <t>11. Category summary</t>
  </si>
  <si>
    <t>Reference Cleaned_Orders, filter Clean rows, then Group By Category.</t>
  </si>
  <si>
    <t>Do you have revenue, profit, orders, and margin by category?</t>
  </si>
  <si>
    <t>12. Load and answer</t>
  </si>
  <si>
    <t>Load the final outputs and answer the business questions.</t>
  </si>
  <si>
    <t>Can someone understand your analysis without asking you?</t>
  </si>
  <si>
    <t>M6 Formula Hints</t>
  </si>
  <si>
    <t>Use these hints when adding Custom Columns in Power Query. You may adjust them based on your column names.</t>
  </si>
  <si>
    <t>Use Case</t>
  </si>
  <si>
    <t>Power Query / M Formula</t>
  </si>
  <si>
    <t>What It Checks</t>
  </si>
  <si>
    <t>Expected Revenue</t>
  </si>
  <si>
    <t>'[Quantity] * [Standard Price]</t>
  </si>
  <si>
    <t>Calculates what revenue should be based on quantity and standard price.</t>
  </si>
  <si>
    <t>Revenue Difference</t>
  </si>
  <si>
    <t>'[Revenue] - [Expected Revenue]</t>
  </si>
  <si>
    <t>Shows whether recorded revenue matches expected revenue.</t>
  </si>
  <si>
    <t>Profit</t>
  </si>
  <si>
    <t>'[Revenue] - ([Quantity] * [Unit Cost])</t>
  </si>
  <si>
    <t>Calculates business profit after estimated product cost.</t>
  </si>
  <si>
    <t>Quality Flag</t>
  </si>
  <si>
    <t>'if [Product Name] = null then "Missing Product" else if [Quantity] = null then "Check Quantity" else if [Revenue] = null then "Check Revenue" else if Number.Abs([Revenue Difference]) &gt; 0 then "Revenue Review" else "Clean"</t>
  </si>
  <si>
    <t>Labels whether each row is clean or needs review.</t>
  </si>
  <si>
    <t>Completed Flag</t>
  </si>
  <si>
    <t>'if [Status] = "Completed" then 1 else 0</t>
  </si>
  <si>
    <t>Optional helper for completed order analysis.</t>
  </si>
  <si>
    <t>Margin</t>
  </si>
  <si>
    <t>'if [Revenue] = null or [Revenue] = 0 then null else [Profit] / [Revenue]</t>
  </si>
  <si>
    <t>Optional helper for profitability analysis.</t>
  </si>
  <si>
    <t>M6 Submission Checklist</t>
  </si>
  <si>
    <t>Before submitting, check that your workbook or screenshots include these outputs.</t>
  </si>
  <si>
    <t>Submission Item</t>
  </si>
  <si>
    <t>Expected Content</t>
  </si>
  <si>
    <t>Done?</t>
  </si>
  <si>
    <t>All appended rows with clean dates, product details, region details, custom columns, and Quality Flag</t>
  </si>
  <si>
    <t>Only rows where Quality Flag is not Clean</t>
  </si>
  <si>
    <t>Category, Revenue, Profit, Orders, Margin</t>
  </si>
  <si>
    <t>Business Questions</t>
  </si>
  <si>
    <t>All questions answered in complete, business-style sentences</t>
  </si>
  <si>
    <t>M6 Business Questions</t>
  </si>
  <si>
    <t>Answer these after loading your Power Query outputs. Use complete sentences where possible.</t>
  </si>
  <si>
    <t>Question</t>
  </si>
  <si>
    <t>Student Answer</t>
  </si>
  <si>
    <t>Evidence / Where You Found It</t>
  </si>
  <si>
    <t>How many total rows were imported before removing/reviewing issues?</t>
  </si>
  <si>
    <t>How many rows are clean?</t>
  </si>
  <si>
    <t>What issue appears most often?</t>
  </si>
  <si>
    <t>Which category has the highest revenue?</t>
  </si>
  <si>
    <t>Which month has the highest revenue?</t>
  </si>
  <si>
    <t>What should the business check before making dashboard decisions?</t>
  </si>
  <si>
    <t>What did Power Query make easier compared with manual cleaning?</t>
  </si>
  <si>
    <t>If this data arrives again next month, which steps can be refreshed instead of repeated manually?</t>
  </si>
  <si>
    <t>What is one cleaning step you would add if this were a real company dataset?</t>
  </si>
  <si>
    <t>Product ID</t>
  </si>
  <si>
    <t>Product Name</t>
  </si>
  <si>
    <t>Category</t>
  </si>
  <si>
    <t>Standard Price</t>
  </si>
  <si>
    <t>Unit Cost</t>
  </si>
  <si>
    <t>P-1001</t>
  </si>
  <si>
    <t>USB-C Hub</t>
  </si>
  <si>
    <t>Electronics</t>
  </si>
  <si>
    <t>P-1002</t>
  </si>
  <si>
    <t>Wireless Mouse</t>
  </si>
  <si>
    <t>Accessories</t>
  </si>
  <si>
    <t>P-1003</t>
  </si>
  <si>
    <t>Laptop Stand</t>
  </si>
  <si>
    <t>P-2001</t>
  </si>
  <si>
    <t>Office Chair</t>
  </si>
  <si>
    <t>Furniture</t>
  </si>
  <si>
    <t>P-2002</t>
  </si>
  <si>
    <t>Desk Lamp</t>
  </si>
  <si>
    <t>P-3001</t>
  </si>
  <si>
    <t>Notebook Pack</t>
  </si>
  <si>
    <t>Stationery</t>
  </si>
  <si>
    <t>P-3002</t>
  </si>
  <si>
    <t>Marker Set</t>
  </si>
  <si>
    <t>P-4001</t>
  </si>
  <si>
    <t>Keyboard</t>
  </si>
  <si>
    <t>Order ID</t>
  </si>
  <si>
    <t>Order Date</t>
  </si>
  <si>
    <t>Customer Name</t>
  </si>
  <si>
    <t>Region</t>
  </si>
  <si>
    <t>Channel</t>
  </si>
  <si>
    <t>Status</t>
  </si>
  <si>
    <t>Quantity</t>
  </si>
  <si>
    <t>Revenue</t>
  </si>
  <si>
    <t>Sales Rep</t>
  </si>
  <si>
    <t>ORD-001</t>
  </si>
  <si>
    <t>Alya</t>
  </si>
  <si>
    <t>ORD-002</t>
  </si>
  <si>
    <t>Bandung</t>
  </si>
  <si>
    <t>Retail</t>
  </si>
  <si>
    <t>Completed</t>
  </si>
  <si>
    <t>Bima</t>
  </si>
  <si>
    <t>ORD-003</t>
  </si>
  <si>
    <t>P-9999</t>
  </si>
  <si>
    <t>Citra</t>
  </si>
  <si>
    <t>ORD-004</t>
  </si>
  <si>
    <t>Dimas</t>
  </si>
  <si>
    <t>ORD-005</t>
  </si>
  <si>
    <t>Raka</t>
  </si>
  <si>
    <t>ORD-006</t>
  </si>
  <si>
    <t>Sari</t>
  </si>
  <si>
    <t>ORD-007</t>
  </si>
  <si>
    <t>ORD-008</t>
  </si>
  <si>
    <t>ORD-009</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</si>
  <si>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</si>
  <si>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</si>
  <si>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</si>
  <si>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</si>
  <si>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</si>
  <si>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</si>
  <si>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</si>
  <si>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</si>
  <si>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</si>
  <si>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</si>
  <si>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</si>
  <si>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</si>
  <si>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</si>
  <si>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</si>
  <si>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</si>
  <si>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</si>
  <si>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</si>
  <si>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</si>
  <si>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</si>
  <si>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</si>
  <si>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</si>
  <si>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</si>
  <si>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</si>
  <si>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</si>
  <si>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</si>
  <si>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</si>
  <si>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</si>
  <si>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</si>
  <si>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</si>
  <si>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</si>
  <si>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</si>
  <si>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</si>
  <si>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</si>
  <si>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</si>
  <si>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</si>
  <si>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</si>
  <si>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</si>
  <si>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</si>
  <si>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</si>
  <si>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</si>
  <si>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</si>
  <si>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</si>
  <si>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</si>
  <si>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</si>
  <si>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</si>
  <si>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</si>
  <si>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</si>
  <si>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</si>
  <si>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</si>
  <si>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</si>
  <si>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</si>
  <si>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</si>
  <si>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</si>
  <si>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</si>
  <si>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</si>
  <si>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Done</t>
  </si>
  <si>
    <t>Alya Putri</t>
  </si>
  <si>
    <t>Online</t>
  </si>
  <si>
    <t>Bima Saputra</t>
  </si>
  <si>
    <t>Citra Dewi</t>
  </si>
  <si>
    <t>Market Place</t>
  </si>
  <si>
    <t>Pending Payment</t>
  </si>
  <si>
    <t>Dimas Pratama</t>
  </si>
  <si>
    <t>Jakarta</t>
  </si>
  <si>
    <t>Corp</t>
  </si>
  <si>
    <t>Raka Wijaya</t>
  </si>
  <si>
    <t>Web</t>
  </si>
  <si>
    <t>Cancel</t>
  </si>
  <si>
    <t>Sari Lestari</t>
  </si>
  <si>
    <t>Store</t>
  </si>
  <si>
    <t>found that there ORD-025 and ORD-125 have minus on revenue</t>
  </si>
  <si>
    <t>also cleaning the region and channel, also there's double order</t>
  </si>
  <si>
    <t>Surabaya</t>
  </si>
  <si>
    <t>Medan</t>
  </si>
  <si>
    <t>Makassar</t>
  </si>
  <si>
    <t>Product_Master.Product Name</t>
  </si>
  <si>
    <t>Product_Master.Category</t>
  </si>
  <si>
    <t>Product_Master.Standard Price</t>
  </si>
  <si>
    <t>Product_Master.Unit Cost</t>
  </si>
  <si>
    <t>Product ID Check</t>
  </si>
  <si>
    <t>Quantity flag</t>
  </si>
  <si>
    <t>Clean</t>
  </si>
  <si>
    <t>Need to check</t>
  </si>
  <si>
    <t>Missing Product</t>
  </si>
  <si>
    <t>Check Quantity</t>
  </si>
  <si>
    <t>Revenue Review</t>
  </si>
  <si>
    <t>Check Revenue</t>
  </si>
  <si>
    <t>Total Orders</t>
  </si>
  <si>
    <t>Total Revenue</t>
  </si>
  <si>
    <t>Total Profit</t>
  </si>
  <si>
    <t>66 rows total - 33 from Orders_June and 33 from Orders_July, appended together.</t>
  </si>
  <si>
    <t>Append JunJul sheet → row count = 66 (Orders_June: 33 rows + Orders_July: 33 rows)</t>
  </si>
  <si>
    <t>48 rows are clean after reviewing all issues.</t>
  </si>
  <si>
    <t>Merge JunJul sheet → Qty flag column → COUNT of rows flagged 'Clean' = 48</t>
  </si>
  <si>
    <t>Missing Product (P-9999) appears most often, affecting 8 rows.</t>
  </si>
  <si>
    <t>Merge JunJul sheet → Qty flag column → 'Missing Product' = 8 rows (ORD-003, ORD-012, ORD-021, ORD-030, Ord-102, Ord-111, Ord-120, Ord-129)</t>
  </si>
  <si>
    <t>Electronics has the highest revenue at Rp 19,575,000.</t>
  </si>
  <si>
    <t>Category_Summary sheet or Merge JunJul → grouped by Category → Electronics = Rp 19,575,000</t>
  </si>
  <si>
    <t>July has the highest revenue at Rp 14,025,000.</t>
  </si>
  <si>
    <t>Merge JunJul sheet → grouped by Month Name → July = Rp 14,025,000</t>
  </si>
  <si>
    <t>The business should verify unresolved rows: 8 orders with invalid product ID (P-9999), 4 with missing quantity, and 2 with missing revenue before trusting any dashboard numbers, also most importantly the format of date, it could be counted as another month if the format doesn't same, and based on june and july data there's same order id with same value that needed tocheck</t>
  </si>
  <si>
    <t>Power Query automated tasks that would have taken many manual steps: standardizing inconsistent region names (e.g. 'JKT' -&gt; 'Jakarta'), fixing mixed-case Product IDs, appending two monthly sheets into one table, and adding calculated columns like Expected Revenue, Profit, and Qty flag all repeatable with one click.</t>
  </si>
  <si>
    <t>Compared Orders_June/Orders_July (raw, inconsistent) vs Merge JunJul (standardized, enriched with calculated columns)</t>
  </si>
  <si>
    <t>All steps can be refreshed automatically by clicking Refresh re-runs the full cleaning and transformation pipeline on the new data without any manual work.</t>
  </si>
  <si>
    <t>Power Query Editor -&gt; Applied Steps panel shows all steps recorded and ready to re-run on new data</t>
  </si>
  <si>
    <t>A Sales Rep validation step cross-checking that the Sales Rep name matches the Customer's officially assigned rep in a master table, to catch misattributed sales and commissions.</t>
  </si>
  <si>
    <t>Orders data has a Sales Rep column but no master table to validate against in a real company this would be critical for their KPI (depend on company)</t>
  </si>
  <si>
    <t>The business should verify the 18 flagged rows in Issued_log = 8 missing products, 4 missing quantity, 4 revenue mismatches, and 2 missing revenue, before trusting any dashboard numbers.</t>
  </si>
  <si>
    <t>Yes</t>
  </si>
  <si>
    <t>Month Name</t>
  </si>
  <si>
    <t>June</t>
  </si>
  <si>
    <t>December</t>
  </si>
  <si>
    <t>January</t>
  </si>
  <si>
    <t>March</t>
  </si>
  <si>
    <t>September</t>
  </si>
  <si>
    <t>November</t>
  </si>
  <si>
    <t>August</t>
  </si>
  <si>
    <t>July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</si>
</sst>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20"/>
      <color rgb="FF0B2545"/>
      <name val="Aptos Display"/>
    </font>
    <font>
      <sz val="10"/>
      <color rgb="FF667085"/>
      <name val="Aptos"/>
    </font>
    <font>
      <b/>
      <sz val="10"/>
      <color rgb="FF0B2545"/>
      <name val="Aptos"/>
    </font>
    <font>
      <b/>
      <sz val="10"/>
      <color rgb="FF2F74B5"/>
      <name val="Aptos"/>
    </font>
    <font>
      <sz val="11"/>
      <color theme="1"/>
      <name val="Calibri"/>
    </font>
    <font>
      <sz val="8"/>
      <name val="Calibri"/>
      <family val="2"/>
      <scheme val="minor"/>
    </font>
    <font>
      <sz val="11"/>
      <name val="Calibri"/>
      <family val="2"/>
      <scheme val="minor"/>
    </font>
  </fonts>
  <fills count="3">
    <fill>
      <patternFill patternType="none"/>
    </fill>
    <fill>
      <patternFill patternType="gray125"/>
    </fill>
    <fill>
      <patternFill patternType="solid">
        <fgColor rgb="FFE8F2FB"/>
      </patternFill>
    </fill>
  </fills>
  <borders count="2">
    <border>
      <left/>
      <right/>
      <top/>
      <bottom/>
      <diagonal/>
    </border>
    <border>
      <left/>
      <right/>
      <top/>
      <bottom style="thin">
        <color rgb="FFD9E2EC"/>
      </bottom>
      <diagonal/>
    </border>
  </borders>
  <cellStyleXfs count="1">
    <xf numFmtId="0" fontId="0" fillId="0" borderId="0"/>
  </cellStyleXfs>
  <cellXfs count="13">
    <xf numFmtId="0" fontId="0" fillId="0" borderId="0" xfId="0"/>
    <xf numFmtId="0" fontId="3" fillId="2" borderId="1" xfId="0" applyFont="1" applyFill="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vertical="center" wrapText="1"/>
    </xf>
    <xf numFmtId="0" fontId="4" fillId="2" borderId="1" xfId="0" applyFont="1" applyFill="1" applyBorder="1" applyAlignment="1">
      <alignment vertical="center"/>
    </xf>
    <xf numFmtId="0" fontId="2" fillId="0" borderId="1" xfId="0" applyFont="1" applyBorder="1" applyAlignment="1">
      <alignment vertical="center" wrapText="1"/>
    </xf>
    <xf numFmtId="0" fontId="0" fillId="0" borderId="0" xfId="0"/>
    <xf numFmtId="0" fontId="1" fillId="0" borderId="1" xfId="0" applyFont="1" applyBorder="1" applyAlignment="1">
      <alignment vertical="center"/>
    </xf>
    <xf numFmtId="0" fontId="0" fillId="0" borderId="0" xfId="0" applyNumberFormat="1"/>
    <xf numFmtId="14" fontId="0" fillId="0" borderId="0" xfId="0" applyNumberFormat="1"/>
    <xf numFmtId="0" fontId="5" fillId="0" borderId="0" xfId="0" applyFont="1" applyFill="1" applyBorder="1" applyAlignment="1">
      <alignment vertical="center"/>
    </xf>
    <xf numFmtId="0" fontId="7" fillId="0" borderId="1" xfId="0" applyFont="1" applyBorder="1" applyAlignment="1">
      <alignment vertical="top" wrapText="1"/>
    </xf>
    <xf numFmtId="0" fontId="7" fillId="0" borderId="0" xfId="0" applyFont="1" applyAlignment="1">
      <alignment vertical="top" wrapText="1"/>
    </xf>
  </cellXfs>
  <cellStyles count="1">
    <cellStyle name="Normal" xfId="0" builtinId="0"/>
  </cellStyles>
  <dxfs count="4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69151629-D16E-4D15-B984-D7647E1F72A3}" autoFormatId="16" applyNumberFormats="0" applyBorderFormats="0" applyFontFormats="0" applyPatternFormats="0" applyAlignmentFormats="0" applyWidthHeightFormats="0">
  <queryTableRefresh nextId="6">
    <queryTableFields count="5">
      <queryTableField id="1" name="Product ID" tableColumnId="1"/>
      <queryTableField id="2" name="Product Name" tableColumnId="2"/>
      <queryTableField id="3" name="Category" tableColumnId="3"/>
      <queryTableField id="4" name="Standard Price" tableColumnId="4"/>
      <queryTableField id="5" name="Unit Cost"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5" xr16:uid="{9CC952F3-54E0-4FF9-BC54-BEAE2DE3CDA3}" autoFormatId="16" applyNumberFormats="0" applyBorderFormats="0" applyFontFormats="0" applyPatternFormats="0" applyAlignmentFormats="0" applyWidthHeightFormats="0">
  <queryTableRefresh nextId="11">
    <queryTableFields count="10">
      <queryTableField id="1" name="Order ID" tableColumnId="1"/>
      <queryTableField id="2" name="Order Date" tableColumnId="2"/>
      <queryTableField id="3" name="Customer Name" tableColumnId="3"/>
      <queryTableField id="4" name="Region" tableColumnId="4"/>
      <queryTableField id="5" name="Channel" tableColumnId="5"/>
      <queryTableField id="6" name="Status" tableColumnId="6"/>
      <queryTableField id="7" name="Product ID" tableColumnId="7"/>
      <queryTableField id="8" name="Quantity" tableColumnId="8"/>
      <queryTableField id="9" name="Revenue" tableColumnId="9"/>
      <queryTableField id="10" name="Sales Rep"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1F563483-EC76-4D15-AC7A-92743721B61D}" autoFormatId="16" applyNumberFormats="0" applyBorderFormats="0" applyFontFormats="0" applyPatternFormats="0" applyAlignmentFormats="0" applyWidthHeightFormats="0">
  <queryTableRefresh nextId="11">
    <queryTableFields count="10">
      <queryTableField id="1" name="Order ID" tableColumnId="1"/>
      <queryTableField id="2" name="Order Date" tableColumnId="2"/>
      <queryTableField id="3" name="Customer Name" tableColumnId="3"/>
      <queryTableField id="4" name="Region" tableColumnId="4"/>
      <queryTableField id="5" name="Channel" tableColumnId="5"/>
      <queryTableField id="6" name="Status" tableColumnId="6"/>
      <queryTableField id="7" name="Product ID" tableColumnId="7"/>
      <queryTableField id="8" name="Quantity" tableColumnId="8"/>
      <queryTableField id="9" name="Revenue" tableColumnId="9"/>
      <queryTableField id="10" name="Sales Rep"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40E10E4D-6890-46A6-9712-9137702F5901}" autoFormatId="16" applyNumberFormats="0" applyBorderFormats="0" applyFontFormats="0" applyPatternFormats="0" applyAlignmentFormats="0" applyWidthHeightFormats="0">
  <queryTableRefresh nextId="23">
    <queryTableFields count="20">
      <queryTableField id="1" name="Order ID" tableColumnId="1"/>
      <queryTableField id="2" name="Order Date" tableColumnId="2"/>
      <queryTableField id="21" name="Month Name" tableColumnId="20"/>
      <queryTableField id="3" name="Customer Name" tableColumnId="3"/>
      <queryTableField id="4" name="Region" tableColumnId="4"/>
      <queryTableField id="5" name="Channel" tableColumnId="5"/>
      <queryTableField id="6" name="Status" tableColumnId="6"/>
      <queryTableField id="7" name="Product ID" tableColumnId="7"/>
      <queryTableField id="15" name="Product ID Check" tableColumnId="15"/>
      <queryTableField id="8" name="Quantity" tableColumnId="8"/>
      <queryTableField id="9" name="Revenue" tableColumnId="9"/>
      <queryTableField id="10" name="Sales Rep" tableColumnId="10"/>
      <queryTableField id="11" name="Product_Master.Product Name" tableColumnId="11"/>
      <queryTableField id="12" name="Product_Master.Category" tableColumnId="12"/>
      <queryTableField id="13" name="Product_Master.Standard Price" tableColumnId="13"/>
      <queryTableField id="14" name="Product_Master.Unit Cost" tableColumnId="14"/>
      <queryTableField id="16" name="Expected Revenue" tableColumnId="16"/>
      <queryTableField id="17" name="Revenue Difference" tableColumnId="17"/>
      <queryTableField id="18" name="Profit" tableColumnId="18"/>
      <queryTableField id="19" name="Quantity flag" tableColumnId="1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 xr16:uid="{5DCA4B82-F520-43D1-B929-EE2F94911782}" autoFormatId="16" applyNumberFormats="0" applyBorderFormats="0" applyFontFormats="0" applyPatternFormats="0" applyAlignmentFormats="0" applyWidthHeightFormats="0">
  <queryTableRefresh nextId="6">
    <queryTableFields count="5">
      <queryTableField id="1" name="Product_Master.Category" tableColumnId="1"/>
      <queryTableField id="2" name="Total Orders" tableColumnId="2"/>
      <queryTableField id="3" name="Total Revenue" tableColumnId="3"/>
      <queryTableField id="4" name="Total Profit" tableColumnId="4"/>
      <queryTableField id="5" name="Margin"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3" xr16:uid="{62F45F1A-E368-47C7-9BE0-0633771B6928}" autoFormatId="16" applyNumberFormats="0" applyBorderFormats="0" applyFontFormats="0" applyPatternFormats="0" applyAlignmentFormats="0" applyWidthHeightFormats="0">
  <queryTableRefresh nextId="20">
    <queryTableFields count="19">
      <queryTableField id="1" name="Order ID" tableColumnId="1"/>
      <queryTableField id="2" name="Order Date" tableColumnId="2"/>
      <queryTableField id="3" name="Customer Name" tableColumnId="3"/>
      <queryTableField id="4" name="Region" tableColumnId="4"/>
      <queryTableField id="5" name="Channel" tableColumnId="5"/>
      <queryTableField id="6" name="Status" tableColumnId="6"/>
      <queryTableField id="7" name="Product ID" tableColumnId="7"/>
      <queryTableField id="8" name="Product ID Check" tableColumnId="8"/>
      <queryTableField id="9" name="Quantity" tableColumnId="9"/>
      <queryTableField id="10" name="Revenue" tableColumnId="10"/>
      <queryTableField id="11" name="Sales Rep" tableColumnId="11"/>
      <queryTableField id="12" name="Product_Master.Product Name" tableColumnId="12"/>
      <queryTableField id="13" name="Product_Master.Category" tableColumnId="13"/>
      <queryTableField id="14" name="Product_Master.Standard Price" tableColumnId="14"/>
      <queryTableField id="15" name="Product_Master.Unit Cost" tableColumnId="15"/>
      <queryTableField id="16" name="Expected Revenue" tableColumnId="16"/>
      <queryTableField id="17" name="Revenue Difference" tableColumnId="17"/>
      <queryTableField id="18" name="Profit" tableColumnId="18"/>
      <queryTableField id="19" name="Quantity flag"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332475-771D-4AEA-919E-68866600ECFF}" name="Product_Master" displayName="Product_Master" ref="A1:E9" tableType="queryTable" totalsRowShown="0">
  <autoFilter ref="A1:E9" xr:uid="{7E332475-771D-4AEA-919E-68866600ECFF}"/>
  <tableColumns count="5">
    <tableColumn id="1" xr3:uid="{4404FFAC-7BA5-47EA-BB19-5723E135A5FF}" uniqueName="1" name="Product ID" queryTableFieldId="1" dataDxfId="44"/>
    <tableColumn id="2" xr3:uid="{8779165F-837B-4FCC-AFB6-6B837D4D2ADF}" uniqueName="2" name="Product Name" queryTableFieldId="2" dataDxfId="43"/>
    <tableColumn id="3" xr3:uid="{B1BC7B1F-DEBB-4777-A7FB-9AFAE3BB142A}" uniqueName="3" name="Category" queryTableFieldId="3" dataDxfId="42"/>
    <tableColumn id="4" xr3:uid="{99144CEB-7953-4937-A864-BD1FC129C082}" uniqueName="4" name="Standard Price" queryTableFieldId="4"/>
    <tableColumn id="5" xr3:uid="{3CC40C2B-834D-425C-A8BE-6E0AAB553E7A}" uniqueName="5" name="Unit Cost" queryTableFieldId="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232FBF-233C-4E01-8EE5-3A84D9976E4D}" name="Orders_June" displayName="Orders_June" ref="A1:J34" tableType="queryTable" totalsRowShown="0">
  <autoFilter ref="A1:J34" xr:uid="{AC232FBF-233C-4E01-8EE5-3A84D9976E4D}"/>
  <tableColumns count="10">
    <tableColumn id="1" xr3:uid="{874AEB5B-492E-482C-B67E-957520ACDA1B}" uniqueName="1" name="Order ID" queryTableFieldId="1" dataDxfId="41"/>
    <tableColumn id="2" xr3:uid="{C7681108-6747-4A84-AE71-A7DCA59CEA1B}" uniqueName="2" name="Order Date" queryTableFieldId="2" dataDxfId="40"/>
    <tableColumn id="3" xr3:uid="{A148EF62-F3A9-4331-9074-FDD1E14FD990}" uniqueName="3" name="Customer Name" queryTableFieldId="3" dataDxfId="39"/>
    <tableColumn id="4" xr3:uid="{5B845721-7EF7-4075-B23A-081D04052BC5}" uniqueName="4" name="Region" queryTableFieldId="4" dataDxfId="38"/>
    <tableColumn id="5" xr3:uid="{F6D22E1C-8BE9-40A7-BAE6-81F4A630D02D}" uniqueName="5" name="Channel" queryTableFieldId="5" dataDxfId="37"/>
    <tableColumn id="6" xr3:uid="{1BE0A3B1-7563-49F2-84D0-E096CDB02D82}" uniqueName="6" name="Status" queryTableFieldId="6" dataDxfId="36"/>
    <tableColumn id="7" xr3:uid="{94191E3F-E95F-4550-918F-3542B058806D}" uniqueName="7" name="Product ID" queryTableFieldId="7" dataDxfId="35"/>
    <tableColumn id="8" xr3:uid="{C236BC12-22B8-43DE-A0B1-01A8C4C3742C}" uniqueName="8" name="Quantity" queryTableFieldId="8" dataDxfId="34"/>
    <tableColumn id="9" xr3:uid="{8678A2A3-5498-4B0E-8869-05E9FBB6DE1C}" uniqueName="9" name="Revenue" queryTableFieldId="9" dataDxfId="33"/>
    <tableColumn id="10" xr3:uid="{A305B847-1BBF-4014-80B1-848A017D3E83}" uniqueName="10" name="Sales Rep" queryTableFieldId="10" dataDxfId="3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90EEE6-7CC9-4F44-9201-FA3F4B5976A7}" name="Orders_July" displayName="Orders_July" ref="A1:J34" tableType="queryTable" totalsRowShown="0">
  <autoFilter ref="A1:J34" xr:uid="{D090EEE6-7CC9-4F44-9201-FA3F4B5976A7}"/>
  <tableColumns count="10">
    <tableColumn id="1" xr3:uid="{5E4C34F4-6B95-4A59-A052-D68C9D4F9ACC}" uniqueName="1" name="Order ID" queryTableFieldId="1" dataDxfId="31"/>
    <tableColumn id="2" xr3:uid="{005A4663-9768-494F-91A4-3FF42DCACD12}" uniqueName="2" name="Order Date" queryTableFieldId="2" dataDxfId="30"/>
    <tableColumn id="3" xr3:uid="{6F03D914-B268-42A0-AFD5-0CB4CBA29B86}" uniqueName="3" name="Customer Name" queryTableFieldId="3" dataDxfId="29"/>
    <tableColumn id="4" xr3:uid="{08819445-8FC5-45EB-BBB3-660AA21A06EB}" uniqueName="4" name="Region" queryTableFieldId="4" dataDxfId="28"/>
    <tableColumn id="5" xr3:uid="{2E33CC53-22BA-4A82-ACE1-C18149A5BD32}" uniqueName="5" name="Channel" queryTableFieldId="5" dataDxfId="27"/>
    <tableColumn id="6" xr3:uid="{57563496-1372-43BD-BC9B-8D8EF8488706}" uniqueName="6" name="Status" queryTableFieldId="6" dataDxfId="26"/>
    <tableColumn id="7" xr3:uid="{31102CD9-45D9-47DA-9978-FE3ABED3C253}" uniqueName="7" name="Product ID" queryTableFieldId="7" dataDxfId="25"/>
    <tableColumn id="8" xr3:uid="{CFA4D225-63B3-4A56-A09D-1BC98D21223E}" uniqueName="8" name="Quantity" queryTableFieldId="8" dataDxfId="24"/>
    <tableColumn id="9" xr3:uid="{3393F42C-FE62-4E57-AB50-3C77CACB8000}" uniqueName="9" name="Revenue" queryTableFieldId="9" dataDxfId="23"/>
    <tableColumn id="10" xr3:uid="{E8CC3C66-6C40-4042-9E64-73BA1846CBB4}" uniqueName="10" name="Sales Rep" queryTableFieldId="10" dataDxfId="2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40CA59-BF92-4D92-868F-5127212D88F2}" name="Cleaned_Orders" displayName="Cleaned_Orders" ref="A1:T67" tableType="queryTable" totalsRowShown="0">
  <autoFilter ref="A1:T67" xr:uid="{0040CA59-BF92-4D92-868F-5127212D88F2}"/>
  <tableColumns count="20">
    <tableColumn id="1" xr3:uid="{CDA0A945-2B99-443F-87A1-F115E46BEFBA}" uniqueName="1" name="Order ID" queryTableFieldId="1" dataDxfId="10"/>
    <tableColumn id="2" xr3:uid="{F3E41449-66AA-489A-A025-A954C2F3E27E}" uniqueName="2" name="Order Date" queryTableFieldId="2" dataDxfId="9"/>
    <tableColumn id="20" xr3:uid="{001E6551-7422-4417-BD01-84403D6DC7B8}" uniqueName="20" name="Month Name" queryTableFieldId="21" dataDxfId="8"/>
    <tableColumn id="3" xr3:uid="{9C2A4D8D-63B7-429A-B58F-FC4BD621B342}" uniqueName="3" name="Customer Name" queryTableFieldId="3" dataDxfId="7"/>
    <tableColumn id="4" xr3:uid="{4FD34E62-5D71-4664-B1E4-C800C3D8B0F7}" uniqueName="4" name="Region" queryTableFieldId="4" dataDxfId="6"/>
    <tableColumn id="5" xr3:uid="{6BEAC262-5D75-4056-AA28-89449550F8AF}" uniqueName="5" name="Channel" queryTableFieldId="5" dataDxfId="5"/>
    <tableColumn id="6" xr3:uid="{04F6C744-40A2-4226-A71E-AA055735782A}" uniqueName="6" name="Status" queryTableFieldId="6" dataDxfId="4"/>
    <tableColumn id="7" xr3:uid="{71DDC223-F19E-43DD-B936-8E74B0487F15}" uniqueName="7" name="Product ID" queryTableFieldId="7" dataDxfId="3"/>
    <tableColumn id="15" xr3:uid="{CC801D39-E693-4B25-B871-8F2BB5D43338}" uniqueName="15" name="Product ID Check" queryTableFieldId="15"/>
    <tableColumn id="8" xr3:uid="{3D33C5E8-E2AA-49B4-BA77-9C90043FAFB4}" uniqueName="8" name="Quantity" queryTableFieldId="8"/>
    <tableColumn id="9" xr3:uid="{CC44AF23-E60F-4CD3-9461-3BA637B88A78}" uniqueName="9" name="Revenue" queryTableFieldId="9"/>
    <tableColumn id="10" xr3:uid="{0E5ED416-3C01-489B-BE2D-FEF718EBA429}" uniqueName="10" name="Sales Rep" queryTableFieldId="10" dataDxfId="2"/>
    <tableColumn id="11" xr3:uid="{B25DCEB1-164B-4EFB-AC5B-8DCED15DFCC4}" uniqueName="11" name="Product_Master.Product Name" queryTableFieldId="11" dataDxfId="1"/>
    <tableColumn id="12" xr3:uid="{66230ADD-4D5C-453B-8607-E35FFF180EB7}" uniqueName="12" name="Product_Master.Category" queryTableFieldId="12" dataDxfId="0"/>
    <tableColumn id="13" xr3:uid="{32618C2B-A9A3-4C19-B66B-EE7C1DC860D1}" uniqueName="13" name="Product_Master.Standard Price" queryTableFieldId="13"/>
    <tableColumn id="14" xr3:uid="{C1C8C87E-0E2B-4779-8248-7812F50AAE18}" uniqueName="14" name="Product_Master.Unit Cost" queryTableFieldId="14"/>
    <tableColumn id="16" xr3:uid="{329C0B7C-AE57-486B-871D-EA472FEBC77E}" uniqueName="16" name="Expected Revenue" queryTableFieldId="16"/>
    <tableColumn id="17" xr3:uid="{0BD52973-48E6-4554-8492-F8B7AECF9864}" uniqueName="17" name="Revenue Difference" queryTableFieldId="17"/>
    <tableColumn id="18" xr3:uid="{0E23789F-413A-4218-A68A-777AD2F68490}" uniqueName="18" name="Profit" queryTableFieldId="18"/>
    <tableColumn id="19" xr3:uid="{C70817B7-4F54-4678-96A3-CF15D02A38A8}" uniqueName="19" name="Quantity flag" queryTableFieldId="19"/>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90E5021-A4C0-4379-B653-33049CC07C1E}" name="Category_Summary" displayName="Category_Summary" ref="A1:E5" tableType="queryTable" totalsRowShown="0">
  <autoFilter ref="A1:E5" xr:uid="{F90E5021-A4C0-4379-B653-33049CC07C1E}"/>
  <tableColumns count="5">
    <tableColumn id="1" xr3:uid="{F78D86A2-1ED2-49C2-9E58-444DB81198B9}" uniqueName="1" name="Product_Master.Category" queryTableFieldId="1" dataDxfId="11"/>
    <tableColumn id="2" xr3:uid="{90862128-5C35-4E86-9C88-0AAB153DAF43}" uniqueName="2" name="Total Orders" queryTableFieldId="2"/>
    <tableColumn id="3" xr3:uid="{C01C7A2E-4DED-4756-9691-DCD61ED8FAE9}" uniqueName="3" name="Total Revenue" queryTableFieldId="3"/>
    <tableColumn id="4" xr3:uid="{AA183D07-E4E8-4A34-BE8B-FFF2D962DD5D}" uniqueName="4" name="Total Profit" queryTableFieldId="4"/>
    <tableColumn id="5" xr3:uid="{A1C97076-94A9-41D2-B7F6-C982B6E41816}" uniqueName="5" name="Margin" queryTableFieldId="5"/>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1C1D68-3DF6-4F25-AC21-4FBEBF5AEB62}" name="Issued_log" displayName="Issued_log" ref="A1:S19" tableType="queryTable" totalsRowShown="0">
  <autoFilter ref="A1:S19" xr:uid="{D91C1D68-3DF6-4F25-AC21-4FBEBF5AEB62}"/>
  <tableColumns count="19">
    <tableColumn id="1" xr3:uid="{583A1D9F-10CB-481B-BB46-FB62979293FE}" uniqueName="1" name="Order ID" queryTableFieldId="1" dataDxfId="21"/>
    <tableColumn id="2" xr3:uid="{02E00069-91F7-420A-A19F-8BFC1FE28E6A}" uniqueName="2" name="Order Date" queryTableFieldId="2" dataDxfId="20"/>
    <tableColumn id="3" xr3:uid="{805D26C9-CC5A-4A38-A882-368AA72B7545}" uniqueName="3" name="Customer Name" queryTableFieldId="3" dataDxfId="19"/>
    <tableColumn id="4" xr3:uid="{D337044B-ACB5-4255-85D2-B41180B7ADB5}" uniqueName="4" name="Region" queryTableFieldId="4" dataDxfId="18"/>
    <tableColumn id="5" xr3:uid="{1B151807-C8D9-4AE8-832C-23CE6DC9ADAB}" uniqueName="5" name="Channel" queryTableFieldId="5" dataDxfId="17"/>
    <tableColumn id="6" xr3:uid="{DE81D23C-D10B-40D0-AA51-B7DFB1C0310D}" uniqueName="6" name="Status" queryTableFieldId="6" dataDxfId="16"/>
    <tableColumn id="7" xr3:uid="{61FDCF82-BDFE-44BC-8FBA-93B49C5DE995}" uniqueName="7" name="Product ID" queryTableFieldId="7" dataDxfId="15"/>
    <tableColumn id="8" xr3:uid="{FB042D6F-9887-4961-A7F5-A3DC17926EC4}" uniqueName="8" name="Product ID Check" queryTableFieldId="8"/>
    <tableColumn id="9" xr3:uid="{7BD1B67D-29E5-4F25-AE2E-C49F37C69323}" uniqueName="9" name="Quantity" queryTableFieldId="9"/>
    <tableColumn id="10" xr3:uid="{3F8BAFD9-BED7-4529-BD61-D12D50EABEE1}" uniqueName="10" name="Revenue" queryTableFieldId="10"/>
    <tableColumn id="11" xr3:uid="{64DAC9F0-B438-4345-A331-279B7E504A8D}" uniqueName="11" name="Sales Rep" queryTableFieldId="11" dataDxfId="14"/>
    <tableColumn id="12" xr3:uid="{72F92950-BEC1-487E-96A1-BC5BBA5855EE}" uniqueName="12" name="Product_Master.Product Name" queryTableFieldId="12" dataDxfId="13"/>
    <tableColumn id="13" xr3:uid="{87AA9F95-5386-42AF-882A-C20EF2D8EABE}" uniqueName="13" name="Product_Master.Category" queryTableFieldId="13" dataDxfId="12"/>
    <tableColumn id="14" xr3:uid="{45E504AE-D894-45D9-B7B7-6BE121F84879}" uniqueName="14" name="Product_Master.Standard Price" queryTableFieldId="14"/>
    <tableColumn id="15" xr3:uid="{89E5E73B-191E-44B9-A12D-37F3CCAFEAEF}" uniqueName="15" name="Product_Master.Unit Cost" queryTableFieldId="15"/>
    <tableColumn id="16" xr3:uid="{0ACAA839-F3A7-43DF-A932-1D7B98116EFA}" uniqueName="16" name="Expected Revenue" queryTableFieldId="16"/>
    <tableColumn id="17" xr3:uid="{DDD9F293-62BA-4EDC-A4A9-392A511ECA4E}" uniqueName="17" name="Revenue Difference" queryTableFieldId="17"/>
    <tableColumn id="18" xr3:uid="{8D337692-8B88-4C3A-825E-8CEC782F59E0}" uniqueName="18" name="Profit" queryTableFieldId="18"/>
    <tableColumn id="19" xr3:uid="{A682ED77-0A99-4328-AF98-28DE0F662DFD}" uniqueName="19" name="Quantity flag" queryTableFieldId="19"/>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E304-9091-405F-B44D-3A092F3F6745}">
  <dimension ref="A1:E9"/>
  <sheetViews>
    <sheetView workbookViewId="0">
      <selection sqref="A1:E9"/>
    </sheetView>
  </sheetViews>
  <sheetFormatPr defaultRowHeight="14.4" x14ac:dyDescent="0.3"/>
  <cols>
    <col min="1" max="1" width="12.109375" bestFit="1" customWidth="1"/>
    <col min="2" max="2" width="15.44140625" bestFit="1" customWidth="1"/>
    <col min="3" max="3" width="10.77734375" bestFit="1" customWidth="1"/>
    <col min="4" max="4" width="15.5546875" bestFit="1" customWidth="1"/>
    <col min="5" max="5" width="10.88671875" bestFit="1" customWidth="1"/>
  </cols>
  <sheetData>
    <row r="1" spans="1:5" x14ac:dyDescent="0.3">
      <c r="A1" t="s">
        <v>133</v>
      </c>
      <c r="B1" t="s">
        <v>134</v>
      </c>
      <c r="C1" t="s">
        <v>135</v>
      </c>
      <c r="D1" t="s">
        <v>136</v>
      </c>
      <c r="E1" t="s">
        <v>137</v>
      </c>
    </row>
    <row r="2" spans="1:5" x14ac:dyDescent="0.3">
      <c r="A2" s="8" t="s">
        <v>138</v>
      </c>
      <c r="B2" s="8" t="s">
        <v>139</v>
      </c>
      <c r="C2" s="8" t="s">
        <v>140</v>
      </c>
      <c r="D2">
        <v>350000</v>
      </c>
      <c r="E2">
        <v>210000</v>
      </c>
    </row>
    <row r="3" spans="1:5" x14ac:dyDescent="0.3">
      <c r="A3" s="8" t="s">
        <v>141</v>
      </c>
      <c r="B3" s="8" t="s">
        <v>142</v>
      </c>
      <c r="C3" s="8" t="s">
        <v>143</v>
      </c>
      <c r="D3">
        <v>245000</v>
      </c>
      <c r="E3">
        <v>145000</v>
      </c>
    </row>
    <row r="4" spans="1:5" x14ac:dyDescent="0.3">
      <c r="A4" s="8" t="s">
        <v>144</v>
      </c>
      <c r="B4" s="8" t="s">
        <v>145</v>
      </c>
      <c r="C4" s="8" t="s">
        <v>143</v>
      </c>
      <c r="D4">
        <v>310000</v>
      </c>
      <c r="E4">
        <v>190000</v>
      </c>
    </row>
    <row r="5" spans="1:5" x14ac:dyDescent="0.3">
      <c r="A5" s="8" t="s">
        <v>146</v>
      </c>
      <c r="B5" s="8" t="s">
        <v>147</v>
      </c>
      <c r="C5" s="8" t="s">
        <v>148</v>
      </c>
      <c r="D5">
        <v>1450000</v>
      </c>
      <c r="E5">
        <v>980000</v>
      </c>
    </row>
    <row r="6" spans="1:5" x14ac:dyDescent="0.3">
      <c r="A6" s="8" t="s">
        <v>149</v>
      </c>
      <c r="B6" s="8" t="s">
        <v>150</v>
      </c>
      <c r="C6" s="8" t="s">
        <v>148</v>
      </c>
      <c r="D6">
        <v>275000</v>
      </c>
      <c r="E6">
        <v>155000</v>
      </c>
    </row>
    <row r="7" spans="1:5" x14ac:dyDescent="0.3">
      <c r="A7" s="8" t="s">
        <v>151</v>
      </c>
      <c r="B7" s="8" t="s">
        <v>152</v>
      </c>
      <c r="C7" s="8" t="s">
        <v>153</v>
      </c>
      <c r="D7">
        <v>65000</v>
      </c>
      <c r="E7">
        <v>31000</v>
      </c>
    </row>
    <row r="8" spans="1:5" x14ac:dyDescent="0.3">
      <c r="A8" s="8" t="s">
        <v>154</v>
      </c>
      <c r="B8" s="8" t="s">
        <v>155</v>
      </c>
      <c r="C8" s="8" t="s">
        <v>153</v>
      </c>
      <c r="D8">
        <v>85000</v>
      </c>
      <c r="E8">
        <v>43000</v>
      </c>
    </row>
    <row r="9" spans="1:5" x14ac:dyDescent="0.3">
      <c r="A9" s="8" t="s">
        <v>156</v>
      </c>
      <c r="B9" s="8" t="s">
        <v>157</v>
      </c>
      <c r="C9" s="8" t="s">
        <v>140</v>
      </c>
      <c r="D9">
        <v>475000</v>
      </c>
      <c r="E9">
        <v>285000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474A0-37FD-4810-8F6E-341D40718758}">
  <dimension ref="A1:J34"/>
  <sheetViews>
    <sheetView workbookViewId="0"/>
  </sheetViews>
  <sheetFormatPr defaultRowHeight="14.4" x14ac:dyDescent="0.3"/>
  <cols>
    <col min="1" max="1" width="10.21875" bestFit="1" customWidth="1"/>
    <col min="2" max="2" width="12.33203125" bestFit="1" customWidth="1"/>
    <col min="3" max="3" width="16.88671875" bestFit="1" customWidth="1"/>
    <col min="4" max="4" width="9" bestFit="1" customWidth="1"/>
    <col min="5" max="5" width="11.6640625" bestFit="1" customWidth="1"/>
    <col min="6" max="6" width="15" bestFit="1" customWidth="1"/>
    <col min="7" max="7" width="12.109375" bestFit="1" customWidth="1"/>
    <col min="8" max="9" width="10.5546875" bestFit="1" customWidth="1"/>
    <col min="10" max="10" width="11.109375" bestFit="1" customWidth="1"/>
  </cols>
  <sheetData>
    <row r="1" spans="1:10" x14ac:dyDescent="0.3">
      <c r="A1" t="s">
        <v>158</v>
      </c>
      <c r="B1" t="s">
        <v>159</v>
      </c>
      <c r="C1" t="s">
        <v>160</v>
      </c>
      <c r="D1" t="s">
        <v>161</v>
      </c>
      <c r="E1" t="s">
        <v>162</v>
      </c>
      <c r="F1" t="s">
        <v>163</v>
      </c>
      <c r="G1" t="s">
        <v>133</v>
      </c>
      <c r="H1" t="s">
        <v>164</v>
      </c>
      <c r="I1" t="s">
        <v>165</v>
      </c>
      <c r="J1" t="s">
        <v>166</v>
      </c>
    </row>
    <row r="2" spans="1:10" x14ac:dyDescent="0.3">
      <c r="A2" s="8" t="s">
        <v>167</v>
      </c>
      <c r="B2" s="9">
        <v>46179</v>
      </c>
      <c r="C2" s="8" t="s">
        <v>242</v>
      </c>
      <c r="D2" s="8" t="s">
        <v>249</v>
      </c>
      <c r="E2" s="8" t="s">
        <v>243</v>
      </c>
      <c r="F2" s="8" t="s">
        <v>241</v>
      </c>
      <c r="G2" s="8" t="s">
        <v>154</v>
      </c>
      <c r="H2" s="8">
        <v>1</v>
      </c>
      <c r="I2" s="8">
        <v>85000</v>
      </c>
      <c r="J2" s="8" t="s">
        <v>168</v>
      </c>
    </row>
    <row r="3" spans="1:10" x14ac:dyDescent="0.3">
      <c r="A3" s="8" t="s">
        <v>169</v>
      </c>
      <c r="B3" s="9">
        <v>46181</v>
      </c>
      <c r="C3" s="8" t="s">
        <v>244</v>
      </c>
      <c r="D3" s="8" t="s">
        <v>170</v>
      </c>
      <c r="E3" s="8" t="s">
        <v>171</v>
      </c>
      <c r="F3" s="8" t="s">
        <v>172</v>
      </c>
      <c r="G3" s="8" t="s">
        <v>156</v>
      </c>
      <c r="H3" s="8">
        <v>2</v>
      </c>
      <c r="I3" s="8">
        <v>950000</v>
      </c>
      <c r="J3" s="8" t="s">
        <v>173</v>
      </c>
    </row>
    <row r="4" spans="1:10" x14ac:dyDescent="0.3">
      <c r="A4" s="8" t="s">
        <v>174</v>
      </c>
      <c r="B4" s="9">
        <v>46183</v>
      </c>
      <c r="C4" s="8" t="s">
        <v>245</v>
      </c>
      <c r="D4" s="8" t="s">
        <v>258</v>
      </c>
      <c r="E4" s="8" t="s">
        <v>246</v>
      </c>
      <c r="F4" s="8" t="s">
        <v>247</v>
      </c>
      <c r="G4" s="8" t="s">
        <v>175</v>
      </c>
      <c r="H4" s="8">
        <v>3</v>
      </c>
      <c r="I4" s="8">
        <v>150000</v>
      </c>
      <c r="J4" s="8" t="s">
        <v>176</v>
      </c>
    </row>
    <row r="5" spans="1:10" x14ac:dyDescent="0.3">
      <c r="A5" s="8" t="s">
        <v>177</v>
      </c>
      <c r="B5" s="9">
        <v>46362</v>
      </c>
      <c r="C5" s="8" t="s">
        <v>248</v>
      </c>
      <c r="D5" s="8" t="s">
        <v>249</v>
      </c>
      <c r="E5" s="8" t="s">
        <v>250</v>
      </c>
      <c r="F5" s="8" t="s">
        <v>172</v>
      </c>
      <c r="G5" s="8" t="s">
        <v>138</v>
      </c>
      <c r="H5" s="8">
        <v>4</v>
      </c>
      <c r="I5" s="8">
        <v>1400000</v>
      </c>
      <c r="J5" s="8" t="s">
        <v>178</v>
      </c>
    </row>
    <row r="6" spans="1:10" x14ac:dyDescent="0.3">
      <c r="A6" s="8" t="s">
        <v>179</v>
      </c>
      <c r="B6" s="9"/>
      <c r="C6" s="8" t="s">
        <v>251</v>
      </c>
      <c r="D6" s="8" t="s">
        <v>259</v>
      </c>
      <c r="E6" s="8" t="s">
        <v>252</v>
      </c>
      <c r="F6" s="8" t="s">
        <v>253</v>
      </c>
      <c r="G6" s="8" t="s">
        <v>141</v>
      </c>
      <c r="H6" s="8"/>
      <c r="I6" s="8">
        <v>1225000</v>
      </c>
      <c r="J6" s="8" t="s">
        <v>180</v>
      </c>
    </row>
    <row r="7" spans="1:10" x14ac:dyDescent="0.3">
      <c r="A7" s="8" t="s">
        <v>181</v>
      </c>
      <c r="B7" s="9">
        <v>46189</v>
      </c>
      <c r="C7" s="8" t="s">
        <v>254</v>
      </c>
      <c r="D7" s="8" t="s">
        <v>260</v>
      </c>
      <c r="E7" s="8" t="s">
        <v>255</v>
      </c>
      <c r="F7" s="8" t="s">
        <v>172</v>
      </c>
      <c r="G7" s="8" t="s">
        <v>144</v>
      </c>
      <c r="H7" s="8">
        <v>1</v>
      </c>
      <c r="I7" s="8">
        <v>310000</v>
      </c>
      <c r="J7" s="8" t="s">
        <v>182</v>
      </c>
    </row>
    <row r="8" spans="1:10" x14ac:dyDescent="0.3">
      <c r="A8" s="8" t="s">
        <v>181</v>
      </c>
      <c r="B8" s="9">
        <v>46189</v>
      </c>
      <c r="C8" s="8" t="s">
        <v>254</v>
      </c>
      <c r="D8" s="8" t="s">
        <v>260</v>
      </c>
      <c r="E8" s="8" t="s">
        <v>255</v>
      </c>
      <c r="F8" s="8" t="s">
        <v>172</v>
      </c>
      <c r="G8" s="8" t="s">
        <v>144</v>
      </c>
      <c r="H8" s="8">
        <v>1</v>
      </c>
      <c r="I8" s="8">
        <v>310000</v>
      </c>
      <c r="J8" s="8" t="s">
        <v>182</v>
      </c>
    </row>
    <row r="9" spans="1:10" x14ac:dyDescent="0.3">
      <c r="A9" s="8" t="s">
        <v>183</v>
      </c>
      <c r="B9" s="9">
        <v>46191</v>
      </c>
      <c r="C9" s="8" t="s">
        <v>242</v>
      </c>
      <c r="D9" s="8" t="s">
        <v>249</v>
      </c>
      <c r="E9" s="8" t="s">
        <v>243</v>
      </c>
      <c r="F9" s="8" t="s">
        <v>241</v>
      </c>
      <c r="G9" s="8" t="s">
        <v>146</v>
      </c>
      <c r="H9" s="8">
        <v>2</v>
      </c>
      <c r="I9" s="8">
        <v>2950000</v>
      </c>
      <c r="J9" s="8" t="s">
        <v>168</v>
      </c>
    </row>
    <row r="10" spans="1:10" x14ac:dyDescent="0.3">
      <c r="A10" s="8" t="s">
        <v>184</v>
      </c>
      <c r="B10" s="9"/>
      <c r="C10" s="8" t="s">
        <v>244</v>
      </c>
      <c r="D10" s="8" t="s">
        <v>170</v>
      </c>
      <c r="E10" s="8" t="s">
        <v>171</v>
      </c>
      <c r="F10" s="8" t="s">
        <v>172</v>
      </c>
      <c r="G10" s="8" t="s">
        <v>149</v>
      </c>
      <c r="H10" s="8">
        <v>3</v>
      </c>
      <c r="I10" s="8">
        <v>825000</v>
      </c>
      <c r="J10" s="8" t="s">
        <v>173</v>
      </c>
    </row>
    <row r="11" spans="1:10" x14ac:dyDescent="0.3">
      <c r="A11" s="8" t="s">
        <v>185</v>
      </c>
      <c r="B11" s="9"/>
      <c r="C11" s="8" t="s">
        <v>245</v>
      </c>
      <c r="D11" s="8" t="s">
        <v>258</v>
      </c>
      <c r="E11" s="8" t="s">
        <v>246</v>
      </c>
      <c r="F11" s="8" t="s">
        <v>247</v>
      </c>
      <c r="G11" s="8" t="s">
        <v>151</v>
      </c>
      <c r="H11" s="8">
        <v>4</v>
      </c>
      <c r="I11" s="8">
        <v>260000</v>
      </c>
      <c r="J11" s="8" t="s">
        <v>176</v>
      </c>
    </row>
    <row r="12" spans="1:10" x14ac:dyDescent="0.3">
      <c r="A12" s="8" t="s">
        <v>186</v>
      </c>
      <c r="B12" s="9">
        <v>46197</v>
      </c>
      <c r="C12" s="8" t="s">
        <v>248</v>
      </c>
      <c r="D12" s="8" t="s">
        <v>249</v>
      </c>
      <c r="E12" s="8" t="s">
        <v>250</v>
      </c>
      <c r="F12" s="8" t="s">
        <v>172</v>
      </c>
      <c r="G12" s="8" t="s">
        <v>154</v>
      </c>
      <c r="H12" s="8">
        <v>5</v>
      </c>
      <c r="I12" s="8">
        <v>425000</v>
      </c>
      <c r="J12" s="8" t="s">
        <v>178</v>
      </c>
    </row>
    <row r="13" spans="1:10" x14ac:dyDescent="0.3">
      <c r="A13" s="8" t="s">
        <v>187</v>
      </c>
      <c r="B13" s="9">
        <v>46199</v>
      </c>
      <c r="C13" s="8" t="s">
        <v>251</v>
      </c>
      <c r="D13" s="8" t="s">
        <v>259</v>
      </c>
      <c r="E13" s="8" t="s">
        <v>252</v>
      </c>
      <c r="F13" s="8" t="s">
        <v>253</v>
      </c>
      <c r="G13" s="8" t="s">
        <v>156</v>
      </c>
      <c r="H13" s="8">
        <v>1</v>
      </c>
      <c r="I13" s="8">
        <v>475000</v>
      </c>
      <c r="J13" s="8" t="s">
        <v>180</v>
      </c>
    </row>
    <row r="14" spans="1:10" x14ac:dyDescent="0.3">
      <c r="A14" s="8" t="s">
        <v>188</v>
      </c>
      <c r="B14" s="9">
        <v>46028</v>
      </c>
      <c r="C14" s="8" t="s">
        <v>254</v>
      </c>
      <c r="D14" s="8" t="s">
        <v>260</v>
      </c>
      <c r="E14" s="8" t="s">
        <v>255</v>
      </c>
      <c r="F14" s="8" t="s">
        <v>172</v>
      </c>
      <c r="G14" s="8" t="s">
        <v>175</v>
      </c>
      <c r="H14" s="8">
        <v>3</v>
      </c>
      <c r="I14" s="8">
        <v>150000</v>
      </c>
      <c r="J14" s="8" t="s">
        <v>182</v>
      </c>
    </row>
    <row r="15" spans="1:10" x14ac:dyDescent="0.3">
      <c r="A15" s="8" t="s">
        <v>189</v>
      </c>
      <c r="B15" s="9">
        <v>46087</v>
      </c>
      <c r="C15" s="8" t="s">
        <v>242</v>
      </c>
      <c r="D15" s="8" t="s">
        <v>249</v>
      </c>
      <c r="E15" s="8" t="s">
        <v>243</v>
      </c>
      <c r="F15" s="8" t="s">
        <v>241</v>
      </c>
      <c r="G15" s="8" t="s">
        <v>138</v>
      </c>
      <c r="H15" s="8">
        <v>3</v>
      </c>
      <c r="I15" s="8">
        <v>1050000</v>
      </c>
      <c r="J15" s="8" t="s">
        <v>168</v>
      </c>
    </row>
    <row r="16" spans="1:10" x14ac:dyDescent="0.3">
      <c r="A16" s="8" t="s">
        <v>190</v>
      </c>
      <c r="B16" s="9">
        <v>46178</v>
      </c>
      <c r="C16" s="8" t="s">
        <v>244</v>
      </c>
      <c r="D16" s="8" t="s">
        <v>170</v>
      </c>
      <c r="E16" s="8" t="s">
        <v>171</v>
      </c>
      <c r="F16" s="8" t="s">
        <v>172</v>
      </c>
      <c r="G16" s="8" t="s">
        <v>141</v>
      </c>
      <c r="H16" s="8">
        <v>4</v>
      </c>
      <c r="I16" s="8">
        <v>980000</v>
      </c>
      <c r="J16" s="8" t="s">
        <v>173</v>
      </c>
    </row>
    <row r="17" spans="1:10" x14ac:dyDescent="0.3">
      <c r="A17" s="8" t="s">
        <v>191</v>
      </c>
      <c r="B17" s="9">
        <v>46180</v>
      </c>
      <c r="C17" s="8" t="s">
        <v>245</v>
      </c>
      <c r="D17" s="8" t="s">
        <v>258</v>
      </c>
      <c r="E17" s="8" t="s">
        <v>246</v>
      </c>
      <c r="F17" s="8" t="s">
        <v>247</v>
      </c>
      <c r="G17" s="8" t="s">
        <v>144</v>
      </c>
      <c r="H17" s="8">
        <v>5</v>
      </c>
      <c r="I17" s="8"/>
      <c r="J17" s="8" t="s">
        <v>176</v>
      </c>
    </row>
    <row r="18" spans="1:10" x14ac:dyDescent="0.3">
      <c r="A18" s="8" t="s">
        <v>192</v>
      </c>
      <c r="B18" s="9">
        <v>46271</v>
      </c>
      <c r="C18" s="8" t="s">
        <v>248</v>
      </c>
      <c r="D18" s="8" t="s">
        <v>249</v>
      </c>
      <c r="E18" s="8" t="s">
        <v>250</v>
      </c>
      <c r="F18" s="8" t="s">
        <v>172</v>
      </c>
      <c r="G18" s="8" t="s">
        <v>146</v>
      </c>
      <c r="H18" s="8">
        <v>1</v>
      </c>
      <c r="I18" s="8">
        <v>1450000</v>
      </c>
      <c r="J18" s="8" t="s">
        <v>178</v>
      </c>
    </row>
    <row r="19" spans="1:10" x14ac:dyDescent="0.3">
      <c r="A19" s="8" t="s">
        <v>193</v>
      </c>
      <c r="B19" s="9">
        <v>46332</v>
      </c>
      <c r="C19" s="8" t="s">
        <v>251</v>
      </c>
      <c r="D19" s="8" t="s">
        <v>259</v>
      </c>
      <c r="E19" s="8" t="s">
        <v>252</v>
      </c>
      <c r="F19" s="8" t="s">
        <v>253</v>
      </c>
      <c r="G19" s="8" t="s">
        <v>149</v>
      </c>
      <c r="H19" s="8">
        <v>2</v>
      </c>
      <c r="I19" s="8">
        <v>550000</v>
      </c>
      <c r="J19" s="8" t="s">
        <v>180</v>
      </c>
    </row>
    <row r="20" spans="1:10" x14ac:dyDescent="0.3">
      <c r="A20" s="8" t="s">
        <v>194</v>
      </c>
      <c r="B20" s="9">
        <v>46186</v>
      </c>
      <c r="C20" s="8" t="s">
        <v>254</v>
      </c>
      <c r="D20" s="8" t="s">
        <v>260</v>
      </c>
      <c r="E20" s="8" t="s">
        <v>255</v>
      </c>
      <c r="F20" s="8" t="s">
        <v>172</v>
      </c>
      <c r="G20" s="8" t="s">
        <v>151</v>
      </c>
      <c r="H20" s="8"/>
      <c r="I20" s="8">
        <v>195000</v>
      </c>
      <c r="J20" s="8" t="s">
        <v>182</v>
      </c>
    </row>
    <row r="21" spans="1:10" x14ac:dyDescent="0.3">
      <c r="A21" s="8" t="s">
        <v>195</v>
      </c>
      <c r="B21" s="9">
        <v>46188</v>
      </c>
      <c r="C21" s="8" t="s">
        <v>242</v>
      </c>
      <c r="D21" s="8" t="s">
        <v>249</v>
      </c>
      <c r="E21" s="8" t="s">
        <v>243</v>
      </c>
      <c r="F21" s="8" t="s">
        <v>241</v>
      </c>
      <c r="G21" s="8" t="s">
        <v>154</v>
      </c>
      <c r="H21" s="8">
        <v>4</v>
      </c>
      <c r="I21" s="8">
        <v>340000</v>
      </c>
      <c r="J21" s="8" t="s">
        <v>168</v>
      </c>
    </row>
    <row r="22" spans="1:10" x14ac:dyDescent="0.3">
      <c r="A22" s="8" t="s">
        <v>196</v>
      </c>
      <c r="B22" s="9"/>
      <c r="C22" s="8" t="s">
        <v>244</v>
      </c>
      <c r="D22" s="8" t="s">
        <v>170</v>
      </c>
      <c r="E22" s="8" t="s">
        <v>171</v>
      </c>
      <c r="F22" s="8" t="s">
        <v>172</v>
      </c>
      <c r="G22" s="8" t="s">
        <v>156</v>
      </c>
      <c r="H22" s="8">
        <v>5</v>
      </c>
      <c r="I22" s="8">
        <v>2375000</v>
      </c>
      <c r="J22" s="8" t="s">
        <v>173</v>
      </c>
    </row>
    <row r="23" spans="1:10" x14ac:dyDescent="0.3">
      <c r="A23" s="8" t="s">
        <v>197</v>
      </c>
      <c r="B23" s="9"/>
      <c r="C23" s="8" t="s">
        <v>245</v>
      </c>
      <c r="D23" s="8" t="s">
        <v>258</v>
      </c>
      <c r="E23" s="8" t="s">
        <v>246</v>
      </c>
      <c r="F23" s="8" t="s">
        <v>247</v>
      </c>
      <c r="G23" s="8" t="s">
        <v>175</v>
      </c>
      <c r="H23" s="8">
        <v>1</v>
      </c>
      <c r="I23" s="8">
        <v>150000</v>
      </c>
      <c r="J23" s="8" t="s">
        <v>176</v>
      </c>
    </row>
    <row r="24" spans="1:10" x14ac:dyDescent="0.3">
      <c r="A24" s="8" t="s">
        <v>198</v>
      </c>
      <c r="B24" s="9">
        <v>46194</v>
      </c>
      <c r="C24" s="8" t="s">
        <v>248</v>
      </c>
      <c r="D24" s="8" t="s">
        <v>249</v>
      </c>
      <c r="E24" s="8" t="s">
        <v>250</v>
      </c>
      <c r="F24" s="8" t="s">
        <v>172</v>
      </c>
      <c r="G24" s="8" t="s">
        <v>138</v>
      </c>
      <c r="H24" s="8">
        <v>2</v>
      </c>
      <c r="I24" s="8">
        <v>700000</v>
      </c>
      <c r="J24" s="8" t="s">
        <v>178</v>
      </c>
    </row>
    <row r="25" spans="1:10" x14ac:dyDescent="0.3">
      <c r="A25" s="8" t="s">
        <v>199</v>
      </c>
      <c r="B25" s="9">
        <v>46196</v>
      </c>
      <c r="C25" s="8" t="s">
        <v>251</v>
      </c>
      <c r="D25" s="8" t="s">
        <v>259</v>
      </c>
      <c r="E25" s="8" t="s">
        <v>252</v>
      </c>
      <c r="F25" s="8" t="s">
        <v>253</v>
      </c>
      <c r="G25" s="8" t="s">
        <v>141</v>
      </c>
      <c r="H25" s="8">
        <v>3</v>
      </c>
      <c r="I25" s="8">
        <v>735000</v>
      </c>
      <c r="J25" s="8" t="s">
        <v>180</v>
      </c>
    </row>
    <row r="26" spans="1:10" x14ac:dyDescent="0.3">
      <c r="A26" s="8" t="s">
        <v>200</v>
      </c>
      <c r="B26" s="9"/>
      <c r="C26" s="8" t="s">
        <v>254</v>
      </c>
      <c r="D26" s="8" t="s">
        <v>260</v>
      </c>
      <c r="E26" s="8" t="s">
        <v>255</v>
      </c>
      <c r="F26" s="8" t="s">
        <v>172</v>
      </c>
      <c r="G26" s="8" t="s">
        <v>144</v>
      </c>
      <c r="H26" s="8">
        <v>4</v>
      </c>
      <c r="I26" s="8">
        <v>1290000</v>
      </c>
      <c r="J26" s="8" t="s">
        <v>182</v>
      </c>
    </row>
    <row r="27" spans="1:10" x14ac:dyDescent="0.3">
      <c r="A27" s="8" t="s">
        <v>201</v>
      </c>
      <c r="B27" s="9"/>
      <c r="C27" s="8" t="s">
        <v>242</v>
      </c>
      <c r="D27" s="8" t="s">
        <v>249</v>
      </c>
      <c r="E27" s="8" t="s">
        <v>243</v>
      </c>
      <c r="F27" s="8" t="s">
        <v>241</v>
      </c>
      <c r="G27" s="8" t="s">
        <v>146</v>
      </c>
      <c r="H27" s="8">
        <v>1</v>
      </c>
      <c r="I27" s="8">
        <v>1450000</v>
      </c>
      <c r="J27" s="8" t="s">
        <v>168</v>
      </c>
    </row>
    <row r="28" spans="1:10" x14ac:dyDescent="0.3">
      <c r="A28" s="8" t="s">
        <v>202</v>
      </c>
      <c r="B28" s="9">
        <v>46175</v>
      </c>
      <c r="C28" s="8" t="s">
        <v>244</v>
      </c>
      <c r="D28" s="8" t="s">
        <v>170</v>
      </c>
      <c r="E28" s="8" t="s">
        <v>171</v>
      </c>
      <c r="F28" s="8" t="s">
        <v>172</v>
      </c>
      <c r="G28" s="8" t="s">
        <v>149</v>
      </c>
      <c r="H28" s="8">
        <v>1</v>
      </c>
      <c r="I28" s="8">
        <v>275000</v>
      </c>
      <c r="J28" s="8" t="s">
        <v>173</v>
      </c>
    </row>
    <row r="29" spans="1:10" x14ac:dyDescent="0.3">
      <c r="A29" s="8" t="s">
        <v>203</v>
      </c>
      <c r="B29" s="9">
        <v>46177</v>
      </c>
      <c r="C29" s="8" t="s">
        <v>245</v>
      </c>
      <c r="D29" s="8" t="s">
        <v>258</v>
      </c>
      <c r="E29" s="8" t="s">
        <v>246</v>
      </c>
      <c r="F29" s="8" t="s">
        <v>247</v>
      </c>
      <c r="G29" s="8" t="s">
        <v>151</v>
      </c>
      <c r="H29" s="8">
        <v>2</v>
      </c>
      <c r="I29" s="8">
        <v>130000</v>
      </c>
      <c r="J29" s="8" t="s">
        <v>176</v>
      </c>
    </row>
    <row r="30" spans="1:10" x14ac:dyDescent="0.3">
      <c r="A30" s="8" t="s">
        <v>204</v>
      </c>
      <c r="B30" s="9">
        <v>46179</v>
      </c>
      <c r="C30" s="8" t="s">
        <v>248</v>
      </c>
      <c r="D30" s="8" t="s">
        <v>249</v>
      </c>
      <c r="E30" s="8" t="s">
        <v>250</v>
      </c>
      <c r="F30" s="8" t="s">
        <v>172</v>
      </c>
      <c r="G30" s="8" t="s">
        <v>154</v>
      </c>
      <c r="H30" s="8">
        <v>3</v>
      </c>
      <c r="I30" s="8">
        <v>255000</v>
      </c>
      <c r="J30" s="8" t="s">
        <v>178</v>
      </c>
    </row>
    <row r="31" spans="1:10" x14ac:dyDescent="0.3">
      <c r="A31" s="8" t="s">
        <v>205</v>
      </c>
      <c r="B31" s="9">
        <v>46240</v>
      </c>
      <c r="C31" s="8" t="s">
        <v>251</v>
      </c>
      <c r="D31" s="8" t="s">
        <v>259</v>
      </c>
      <c r="E31" s="8" t="s">
        <v>252</v>
      </c>
      <c r="F31" s="8" t="s">
        <v>253</v>
      </c>
      <c r="G31" s="8" t="s">
        <v>156</v>
      </c>
      <c r="H31" s="8">
        <v>4</v>
      </c>
      <c r="I31" s="8">
        <v>1900000</v>
      </c>
      <c r="J31" s="8" t="s">
        <v>180</v>
      </c>
    </row>
    <row r="32" spans="1:10" x14ac:dyDescent="0.3">
      <c r="A32" s="8" t="s">
        <v>206</v>
      </c>
      <c r="B32" s="9">
        <v>46183</v>
      </c>
      <c r="C32" s="8" t="s">
        <v>254</v>
      </c>
      <c r="D32" s="8" t="s">
        <v>260</v>
      </c>
      <c r="E32" s="8" t="s">
        <v>255</v>
      </c>
      <c r="F32" s="8" t="s">
        <v>172</v>
      </c>
      <c r="G32" s="8" t="s">
        <v>175</v>
      </c>
      <c r="H32" s="8">
        <v>5</v>
      </c>
      <c r="I32" s="8">
        <v>150000</v>
      </c>
      <c r="J32" s="8" t="s">
        <v>182</v>
      </c>
    </row>
    <row r="33" spans="1:10" x14ac:dyDescent="0.3">
      <c r="A33" s="8" t="s">
        <v>207</v>
      </c>
      <c r="B33" s="9"/>
      <c r="C33" s="8" t="s">
        <v>242</v>
      </c>
      <c r="D33" s="8" t="s">
        <v>249</v>
      </c>
      <c r="E33" s="8" t="s">
        <v>243</v>
      </c>
      <c r="F33" s="8" t="s">
        <v>241</v>
      </c>
      <c r="G33" s="8" t="s">
        <v>138</v>
      </c>
      <c r="H33" s="8">
        <v>1</v>
      </c>
      <c r="I33" s="8">
        <v>350000</v>
      </c>
      <c r="J33" s="8" t="s">
        <v>168</v>
      </c>
    </row>
    <row r="34" spans="1:10" x14ac:dyDescent="0.3">
      <c r="A34" s="8" t="s">
        <v>208</v>
      </c>
      <c r="B34" s="9"/>
      <c r="C34" s="8" t="s">
        <v>244</v>
      </c>
      <c r="D34" s="8" t="s">
        <v>170</v>
      </c>
      <c r="E34" s="8" t="s">
        <v>171</v>
      </c>
      <c r="F34" s="8" t="s">
        <v>172</v>
      </c>
      <c r="G34" s="8" t="s">
        <v>141</v>
      </c>
      <c r="H34" s="8">
        <v>2</v>
      </c>
      <c r="I34" s="8">
        <v>490000</v>
      </c>
      <c r="J34" s="8" t="s">
        <v>173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E67C-2D82-417A-8F7D-A83292F6965E}">
  <dimension ref="A1:J34"/>
  <sheetViews>
    <sheetView topLeftCell="A8" workbookViewId="0"/>
  </sheetViews>
  <sheetFormatPr defaultRowHeight="14.4" x14ac:dyDescent="0.3"/>
  <cols>
    <col min="1" max="1" width="10.21875" bestFit="1" customWidth="1"/>
    <col min="2" max="2" width="12.33203125" bestFit="1" customWidth="1"/>
    <col min="3" max="3" width="16.88671875" bestFit="1" customWidth="1"/>
    <col min="4" max="4" width="9" bestFit="1" customWidth="1"/>
    <col min="5" max="5" width="11.6640625" bestFit="1" customWidth="1"/>
    <col min="6" max="6" width="15" bestFit="1" customWidth="1"/>
    <col min="7" max="7" width="12.109375" bestFit="1" customWidth="1"/>
    <col min="8" max="9" width="10.5546875" bestFit="1" customWidth="1"/>
    <col min="10" max="10" width="11.109375" bestFit="1" customWidth="1"/>
  </cols>
  <sheetData>
    <row r="1" spans="1:10" x14ac:dyDescent="0.3">
      <c r="A1" t="s">
        <v>158</v>
      </c>
      <c r="B1" t="s">
        <v>159</v>
      </c>
      <c r="C1" t="s">
        <v>160</v>
      </c>
      <c r="D1" t="s">
        <v>161</v>
      </c>
      <c r="E1" t="s">
        <v>162</v>
      </c>
      <c r="F1" t="s">
        <v>163</v>
      </c>
      <c r="G1" t="s">
        <v>133</v>
      </c>
      <c r="H1" t="s">
        <v>164</v>
      </c>
      <c r="I1" t="s">
        <v>165</v>
      </c>
      <c r="J1" t="s">
        <v>166</v>
      </c>
    </row>
    <row r="2" spans="1:10" x14ac:dyDescent="0.3">
      <c r="A2" s="8" t="s">
        <v>209</v>
      </c>
      <c r="B2" s="9">
        <v>46180</v>
      </c>
      <c r="C2" s="8" t="s">
        <v>242</v>
      </c>
      <c r="D2" s="8" t="s">
        <v>249</v>
      </c>
      <c r="E2" s="8" t="s">
        <v>243</v>
      </c>
      <c r="F2" s="8" t="s">
        <v>241</v>
      </c>
      <c r="G2" s="8" t="s">
        <v>156</v>
      </c>
      <c r="H2" s="8">
        <v>1</v>
      </c>
      <c r="I2" s="8">
        <v>475000</v>
      </c>
      <c r="J2" s="8" t="s">
        <v>168</v>
      </c>
    </row>
    <row r="3" spans="1:10" x14ac:dyDescent="0.3">
      <c r="A3" s="8" t="s">
        <v>210</v>
      </c>
      <c r="B3" s="9">
        <v>46211</v>
      </c>
      <c r="C3" s="8" t="s">
        <v>244</v>
      </c>
      <c r="D3" s="8" t="s">
        <v>170</v>
      </c>
      <c r="E3" s="8" t="s">
        <v>171</v>
      </c>
      <c r="F3" s="8" t="s">
        <v>172</v>
      </c>
      <c r="G3" s="8" t="s">
        <v>175</v>
      </c>
      <c r="H3" s="8">
        <v>2</v>
      </c>
      <c r="I3" s="8">
        <v>150000</v>
      </c>
      <c r="J3" s="8" t="s">
        <v>173</v>
      </c>
    </row>
    <row r="4" spans="1:10" x14ac:dyDescent="0.3">
      <c r="A4" s="8" t="s">
        <v>211</v>
      </c>
      <c r="B4" s="9">
        <v>46213</v>
      </c>
      <c r="C4" s="8" t="s">
        <v>245</v>
      </c>
      <c r="D4" s="8" t="s">
        <v>258</v>
      </c>
      <c r="E4" s="8" t="s">
        <v>246</v>
      </c>
      <c r="F4" s="8" t="s">
        <v>247</v>
      </c>
      <c r="G4" s="8" t="s">
        <v>138</v>
      </c>
      <c r="H4" s="8">
        <v>3</v>
      </c>
      <c r="I4" s="8">
        <v>1050000</v>
      </c>
      <c r="J4" s="8" t="s">
        <v>176</v>
      </c>
    </row>
    <row r="5" spans="1:10" x14ac:dyDescent="0.3">
      <c r="A5" s="8" t="s">
        <v>212</v>
      </c>
      <c r="B5" s="9">
        <v>46363</v>
      </c>
      <c r="C5" s="8" t="s">
        <v>248</v>
      </c>
      <c r="D5" s="8" t="s">
        <v>249</v>
      </c>
      <c r="E5" s="8" t="s">
        <v>250</v>
      </c>
      <c r="F5" s="8" t="s">
        <v>172</v>
      </c>
      <c r="G5" s="8" t="s">
        <v>141</v>
      </c>
      <c r="H5" s="8">
        <v>4</v>
      </c>
      <c r="I5" s="8">
        <v>980000</v>
      </c>
      <c r="J5" s="8" t="s">
        <v>178</v>
      </c>
    </row>
    <row r="6" spans="1:10" x14ac:dyDescent="0.3">
      <c r="A6" s="8" t="s">
        <v>213</v>
      </c>
      <c r="B6" s="9"/>
      <c r="C6" s="8" t="s">
        <v>251</v>
      </c>
      <c r="D6" s="8" t="s">
        <v>259</v>
      </c>
      <c r="E6" s="8" t="s">
        <v>252</v>
      </c>
      <c r="F6" s="8" t="s">
        <v>253</v>
      </c>
      <c r="G6" s="8" t="s">
        <v>144</v>
      </c>
      <c r="H6" s="8"/>
      <c r="I6" s="8">
        <v>1550000</v>
      </c>
      <c r="J6" s="8" t="s">
        <v>180</v>
      </c>
    </row>
    <row r="7" spans="1:10" x14ac:dyDescent="0.3">
      <c r="A7" s="8" t="s">
        <v>214</v>
      </c>
      <c r="B7" s="9">
        <v>46219</v>
      </c>
      <c r="C7" s="8" t="s">
        <v>254</v>
      </c>
      <c r="D7" s="8" t="s">
        <v>260</v>
      </c>
      <c r="E7" s="8" t="s">
        <v>255</v>
      </c>
      <c r="F7" s="8" t="s">
        <v>172</v>
      </c>
      <c r="G7" s="8" t="s">
        <v>146</v>
      </c>
      <c r="H7" s="8">
        <v>1</v>
      </c>
      <c r="I7" s="8">
        <v>1450000</v>
      </c>
      <c r="J7" s="8" t="s">
        <v>182</v>
      </c>
    </row>
    <row r="8" spans="1:10" x14ac:dyDescent="0.3">
      <c r="A8" s="8" t="s">
        <v>214</v>
      </c>
      <c r="B8" s="9">
        <v>46219</v>
      </c>
      <c r="C8" s="8" t="s">
        <v>254</v>
      </c>
      <c r="D8" s="8" t="s">
        <v>260</v>
      </c>
      <c r="E8" s="8" t="s">
        <v>255</v>
      </c>
      <c r="F8" s="8" t="s">
        <v>172</v>
      </c>
      <c r="G8" s="8" t="s">
        <v>146</v>
      </c>
      <c r="H8" s="8">
        <v>1</v>
      </c>
      <c r="I8" s="8">
        <v>1450000</v>
      </c>
      <c r="J8" s="8" t="s">
        <v>182</v>
      </c>
    </row>
    <row r="9" spans="1:10" x14ac:dyDescent="0.3">
      <c r="A9" s="8" t="s">
        <v>215</v>
      </c>
      <c r="B9" s="9">
        <v>46221</v>
      </c>
      <c r="C9" s="8" t="s">
        <v>242</v>
      </c>
      <c r="D9" s="8" t="s">
        <v>249</v>
      </c>
      <c r="E9" s="8" t="s">
        <v>243</v>
      </c>
      <c r="F9" s="8" t="s">
        <v>241</v>
      </c>
      <c r="G9" s="8" t="s">
        <v>149</v>
      </c>
      <c r="H9" s="8">
        <v>2</v>
      </c>
      <c r="I9" s="8">
        <v>600000</v>
      </c>
      <c r="J9" s="8" t="s">
        <v>168</v>
      </c>
    </row>
    <row r="10" spans="1:10" x14ac:dyDescent="0.3">
      <c r="A10" s="8" t="s">
        <v>216</v>
      </c>
      <c r="B10" s="9"/>
      <c r="C10" s="8" t="s">
        <v>244</v>
      </c>
      <c r="D10" s="8" t="s">
        <v>170</v>
      </c>
      <c r="E10" s="8" t="s">
        <v>171</v>
      </c>
      <c r="F10" s="8" t="s">
        <v>172</v>
      </c>
      <c r="G10" s="8" t="s">
        <v>151</v>
      </c>
      <c r="H10" s="8">
        <v>3</v>
      </c>
      <c r="I10" s="8">
        <v>195000</v>
      </c>
      <c r="J10" s="8" t="s">
        <v>173</v>
      </c>
    </row>
    <row r="11" spans="1:10" x14ac:dyDescent="0.3">
      <c r="A11" s="8" t="s">
        <v>217</v>
      </c>
      <c r="B11" s="9"/>
      <c r="C11" s="8" t="s">
        <v>245</v>
      </c>
      <c r="D11" s="8" t="s">
        <v>258</v>
      </c>
      <c r="E11" s="8" t="s">
        <v>246</v>
      </c>
      <c r="F11" s="8" t="s">
        <v>247</v>
      </c>
      <c r="G11" s="8" t="s">
        <v>154</v>
      </c>
      <c r="H11" s="8">
        <v>4</v>
      </c>
      <c r="I11" s="8">
        <v>340000</v>
      </c>
      <c r="J11" s="8" t="s">
        <v>176</v>
      </c>
    </row>
    <row r="12" spans="1:10" x14ac:dyDescent="0.3">
      <c r="A12" s="8" t="s">
        <v>218</v>
      </c>
      <c r="B12" s="9">
        <v>46227</v>
      </c>
      <c r="C12" s="8" t="s">
        <v>248</v>
      </c>
      <c r="D12" s="8" t="s">
        <v>249</v>
      </c>
      <c r="E12" s="8" t="s">
        <v>250</v>
      </c>
      <c r="F12" s="8" t="s">
        <v>172</v>
      </c>
      <c r="G12" s="8" t="s">
        <v>156</v>
      </c>
      <c r="H12" s="8">
        <v>5</v>
      </c>
      <c r="I12" s="8">
        <v>2375000</v>
      </c>
      <c r="J12" s="8" t="s">
        <v>178</v>
      </c>
    </row>
    <row r="13" spans="1:10" x14ac:dyDescent="0.3">
      <c r="A13" s="8" t="s">
        <v>219</v>
      </c>
      <c r="B13" s="9">
        <v>46229</v>
      </c>
      <c r="C13" s="8" t="s">
        <v>251</v>
      </c>
      <c r="D13" s="8" t="s">
        <v>259</v>
      </c>
      <c r="E13" s="8" t="s">
        <v>252</v>
      </c>
      <c r="F13" s="8" t="s">
        <v>253</v>
      </c>
      <c r="G13" s="8" t="s">
        <v>175</v>
      </c>
      <c r="H13" s="8">
        <v>1</v>
      </c>
      <c r="I13" s="8">
        <v>150000</v>
      </c>
      <c r="J13" s="8" t="s">
        <v>180</v>
      </c>
    </row>
    <row r="14" spans="1:10" x14ac:dyDescent="0.3">
      <c r="A14" s="8" t="s">
        <v>220</v>
      </c>
      <c r="B14" s="9">
        <v>46029</v>
      </c>
      <c r="C14" s="8" t="s">
        <v>254</v>
      </c>
      <c r="D14" s="8" t="s">
        <v>260</v>
      </c>
      <c r="E14" s="8" t="s">
        <v>255</v>
      </c>
      <c r="F14" s="8" t="s">
        <v>172</v>
      </c>
      <c r="G14" s="8" t="s">
        <v>138</v>
      </c>
      <c r="H14" s="8">
        <v>3</v>
      </c>
      <c r="I14" s="8">
        <v>1050000</v>
      </c>
      <c r="J14" s="8" t="s">
        <v>182</v>
      </c>
    </row>
    <row r="15" spans="1:10" x14ac:dyDescent="0.3">
      <c r="A15" s="8" t="s">
        <v>221</v>
      </c>
      <c r="B15" s="9">
        <v>46088</v>
      </c>
      <c r="C15" s="8" t="s">
        <v>242</v>
      </c>
      <c r="D15" s="8" t="s">
        <v>249</v>
      </c>
      <c r="E15" s="8" t="s">
        <v>243</v>
      </c>
      <c r="F15" s="8" t="s">
        <v>241</v>
      </c>
      <c r="G15" s="8" t="s">
        <v>141</v>
      </c>
      <c r="H15" s="8">
        <v>3</v>
      </c>
      <c r="I15" s="8">
        <v>735000</v>
      </c>
      <c r="J15" s="8" t="s">
        <v>168</v>
      </c>
    </row>
    <row r="16" spans="1:10" x14ac:dyDescent="0.3">
      <c r="A16" s="8" t="s">
        <v>222</v>
      </c>
      <c r="B16" s="9">
        <v>46208</v>
      </c>
      <c r="C16" s="8" t="s">
        <v>244</v>
      </c>
      <c r="D16" s="8" t="s">
        <v>170</v>
      </c>
      <c r="E16" s="8" t="s">
        <v>171</v>
      </c>
      <c r="F16" s="8" t="s">
        <v>172</v>
      </c>
      <c r="G16" s="8" t="s">
        <v>144</v>
      </c>
      <c r="H16" s="8">
        <v>4</v>
      </c>
      <c r="I16" s="8">
        <v>1240000</v>
      </c>
      <c r="J16" s="8" t="s">
        <v>173</v>
      </c>
    </row>
    <row r="17" spans="1:10" x14ac:dyDescent="0.3">
      <c r="A17" s="8" t="s">
        <v>223</v>
      </c>
      <c r="B17" s="9">
        <v>46210</v>
      </c>
      <c r="C17" s="8" t="s">
        <v>245</v>
      </c>
      <c r="D17" s="8" t="s">
        <v>258</v>
      </c>
      <c r="E17" s="8" t="s">
        <v>246</v>
      </c>
      <c r="F17" s="8" t="s">
        <v>247</v>
      </c>
      <c r="G17" s="8" t="s">
        <v>146</v>
      </c>
      <c r="H17" s="8">
        <v>5</v>
      </c>
      <c r="I17" s="8"/>
      <c r="J17" s="8" t="s">
        <v>176</v>
      </c>
    </row>
    <row r="18" spans="1:10" x14ac:dyDescent="0.3">
      <c r="A18" s="8" t="s">
        <v>224</v>
      </c>
      <c r="B18" s="9">
        <v>46272</v>
      </c>
      <c r="C18" s="8" t="s">
        <v>248</v>
      </c>
      <c r="D18" s="8" t="s">
        <v>249</v>
      </c>
      <c r="E18" s="8" t="s">
        <v>250</v>
      </c>
      <c r="F18" s="8" t="s">
        <v>172</v>
      </c>
      <c r="G18" s="8" t="s">
        <v>149</v>
      </c>
      <c r="H18" s="8">
        <v>1</v>
      </c>
      <c r="I18" s="8">
        <v>275000</v>
      </c>
      <c r="J18" s="8" t="s">
        <v>178</v>
      </c>
    </row>
    <row r="19" spans="1:10" x14ac:dyDescent="0.3">
      <c r="A19" s="8" t="s">
        <v>225</v>
      </c>
      <c r="B19" s="9">
        <v>46333</v>
      </c>
      <c r="C19" s="8" t="s">
        <v>251</v>
      </c>
      <c r="D19" s="8" t="s">
        <v>259</v>
      </c>
      <c r="E19" s="8" t="s">
        <v>252</v>
      </c>
      <c r="F19" s="8" t="s">
        <v>253</v>
      </c>
      <c r="G19" s="8" t="s">
        <v>151</v>
      </c>
      <c r="H19" s="8">
        <v>2</v>
      </c>
      <c r="I19" s="8">
        <v>130000</v>
      </c>
      <c r="J19" s="8" t="s">
        <v>180</v>
      </c>
    </row>
    <row r="20" spans="1:10" x14ac:dyDescent="0.3">
      <c r="A20" s="8" t="s">
        <v>226</v>
      </c>
      <c r="B20" s="9">
        <v>46216</v>
      </c>
      <c r="C20" s="8" t="s">
        <v>254</v>
      </c>
      <c r="D20" s="8" t="s">
        <v>260</v>
      </c>
      <c r="E20" s="8" t="s">
        <v>255</v>
      </c>
      <c r="F20" s="8" t="s">
        <v>172</v>
      </c>
      <c r="G20" s="8" t="s">
        <v>154</v>
      </c>
      <c r="H20" s="8"/>
      <c r="I20" s="8">
        <v>255000</v>
      </c>
      <c r="J20" s="8" t="s">
        <v>182</v>
      </c>
    </row>
    <row r="21" spans="1:10" x14ac:dyDescent="0.3">
      <c r="A21" s="8" t="s">
        <v>227</v>
      </c>
      <c r="B21" s="9">
        <v>46218</v>
      </c>
      <c r="C21" s="8" t="s">
        <v>242</v>
      </c>
      <c r="D21" s="8" t="s">
        <v>249</v>
      </c>
      <c r="E21" s="8" t="s">
        <v>243</v>
      </c>
      <c r="F21" s="8" t="s">
        <v>241</v>
      </c>
      <c r="G21" s="8" t="s">
        <v>156</v>
      </c>
      <c r="H21" s="8">
        <v>4</v>
      </c>
      <c r="I21" s="8">
        <v>1900000</v>
      </c>
      <c r="J21" s="8" t="s">
        <v>168</v>
      </c>
    </row>
    <row r="22" spans="1:10" x14ac:dyDescent="0.3">
      <c r="A22" s="8" t="s">
        <v>228</v>
      </c>
      <c r="B22" s="9"/>
      <c r="C22" s="8" t="s">
        <v>244</v>
      </c>
      <c r="D22" s="8" t="s">
        <v>170</v>
      </c>
      <c r="E22" s="8" t="s">
        <v>171</v>
      </c>
      <c r="F22" s="8" t="s">
        <v>172</v>
      </c>
      <c r="G22" s="8" t="s">
        <v>175</v>
      </c>
      <c r="H22" s="8">
        <v>5</v>
      </c>
      <c r="I22" s="8">
        <v>150000</v>
      </c>
      <c r="J22" s="8" t="s">
        <v>173</v>
      </c>
    </row>
    <row r="23" spans="1:10" x14ac:dyDescent="0.3">
      <c r="A23" s="8" t="s">
        <v>229</v>
      </c>
      <c r="B23" s="9"/>
      <c r="C23" s="8" t="s">
        <v>245</v>
      </c>
      <c r="D23" s="8" t="s">
        <v>258</v>
      </c>
      <c r="E23" s="8" t="s">
        <v>246</v>
      </c>
      <c r="F23" s="8" t="s">
        <v>247</v>
      </c>
      <c r="G23" s="8" t="s">
        <v>138</v>
      </c>
      <c r="H23" s="8">
        <v>1</v>
      </c>
      <c r="I23" s="8">
        <v>350000</v>
      </c>
      <c r="J23" s="8" t="s">
        <v>176</v>
      </c>
    </row>
    <row r="24" spans="1:10" x14ac:dyDescent="0.3">
      <c r="A24" s="8" t="s">
        <v>230</v>
      </c>
      <c r="B24" s="9">
        <v>46224</v>
      </c>
      <c r="C24" s="8" t="s">
        <v>248</v>
      </c>
      <c r="D24" s="8" t="s">
        <v>249</v>
      </c>
      <c r="E24" s="8" t="s">
        <v>250</v>
      </c>
      <c r="F24" s="8" t="s">
        <v>172</v>
      </c>
      <c r="G24" s="8" t="s">
        <v>141</v>
      </c>
      <c r="H24" s="8">
        <v>2</v>
      </c>
      <c r="I24" s="8">
        <v>490000</v>
      </c>
      <c r="J24" s="8" t="s">
        <v>178</v>
      </c>
    </row>
    <row r="25" spans="1:10" x14ac:dyDescent="0.3">
      <c r="A25" s="8" t="s">
        <v>231</v>
      </c>
      <c r="B25" s="9">
        <v>46226</v>
      </c>
      <c r="C25" s="8" t="s">
        <v>251</v>
      </c>
      <c r="D25" s="8" t="s">
        <v>259</v>
      </c>
      <c r="E25" s="8" t="s">
        <v>252</v>
      </c>
      <c r="F25" s="8" t="s">
        <v>253</v>
      </c>
      <c r="G25" s="8" t="s">
        <v>144</v>
      </c>
      <c r="H25" s="8">
        <v>3</v>
      </c>
      <c r="I25" s="8">
        <v>930000</v>
      </c>
      <c r="J25" s="8" t="s">
        <v>180</v>
      </c>
    </row>
    <row r="26" spans="1:10" x14ac:dyDescent="0.3">
      <c r="A26" s="8" t="s">
        <v>232</v>
      </c>
      <c r="B26" s="9"/>
      <c r="C26" s="8" t="s">
        <v>254</v>
      </c>
      <c r="D26" s="8" t="s">
        <v>260</v>
      </c>
      <c r="E26" s="8" t="s">
        <v>255</v>
      </c>
      <c r="F26" s="8" t="s">
        <v>172</v>
      </c>
      <c r="G26" s="8" t="s">
        <v>146</v>
      </c>
      <c r="H26" s="8">
        <v>4</v>
      </c>
      <c r="I26" s="8">
        <v>5850000</v>
      </c>
      <c r="J26" s="8" t="s">
        <v>182</v>
      </c>
    </row>
    <row r="27" spans="1:10" x14ac:dyDescent="0.3">
      <c r="A27" s="8" t="s">
        <v>233</v>
      </c>
      <c r="B27" s="9"/>
      <c r="C27" s="8" t="s">
        <v>242</v>
      </c>
      <c r="D27" s="8" t="s">
        <v>249</v>
      </c>
      <c r="E27" s="8" t="s">
        <v>243</v>
      </c>
      <c r="F27" s="8" t="s">
        <v>241</v>
      </c>
      <c r="G27" s="8" t="s">
        <v>149</v>
      </c>
      <c r="H27" s="8">
        <v>1</v>
      </c>
      <c r="I27" s="8">
        <v>275000</v>
      </c>
      <c r="J27" s="8" t="s">
        <v>168</v>
      </c>
    </row>
    <row r="28" spans="1:10" x14ac:dyDescent="0.3">
      <c r="A28" s="8" t="s">
        <v>234</v>
      </c>
      <c r="B28" s="9">
        <v>46205</v>
      </c>
      <c r="C28" s="8" t="s">
        <v>244</v>
      </c>
      <c r="D28" s="8" t="s">
        <v>170</v>
      </c>
      <c r="E28" s="8" t="s">
        <v>171</v>
      </c>
      <c r="F28" s="8" t="s">
        <v>172</v>
      </c>
      <c r="G28" s="8" t="s">
        <v>151</v>
      </c>
      <c r="H28" s="8">
        <v>1</v>
      </c>
      <c r="I28" s="8">
        <v>65000</v>
      </c>
      <c r="J28" s="8" t="s">
        <v>173</v>
      </c>
    </row>
    <row r="29" spans="1:10" x14ac:dyDescent="0.3">
      <c r="A29" s="8" t="s">
        <v>235</v>
      </c>
      <c r="B29" s="9">
        <v>46207</v>
      </c>
      <c r="C29" s="8" t="s">
        <v>245</v>
      </c>
      <c r="D29" s="8" t="s">
        <v>258</v>
      </c>
      <c r="E29" s="8" t="s">
        <v>246</v>
      </c>
      <c r="F29" s="8" t="s">
        <v>247</v>
      </c>
      <c r="G29" s="8" t="s">
        <v>154</v>
      </c>
      <c r="H29" s="8">
        <v>2</v>
      </c>
      <c r="I29" s="8">
        <v>170000</v>
      </c>
      <c r="J29" s="8" t="s">
        <v>176</v>
      </c>
    </row>
    <row r="30" spans="1:10" x14ac:dyDescent="0.3">
      <c r="A30" s="8" t="s">
        <v>236</v>
      </c>
      <c r="B30" s="9">
        <v>46180</v>
      </c>
      <c r="C30" s="8" t="s">
        <v>248</v>
      </c>
      <c r="D30" s="8" t="s">
        <v>249</v>
      </c>
      <c r="E30" s="8" t="s">
        <v>250</v>
      </c>
      <c r="F30" s="8" t="s">
        <v>172</v>
      </c>
      <c r="G30" s="8" t="s">
        <v>156</v>
      </c>
      <c r="H30" s="8">
        <v>3</v>
      </c>
      <c r="I30" s="8">
        <v>1425000</v>
      </c>
      <c r="J30" s="8" t="s">
        <v>178</v>
      </c>
    </row>
    <row r="31" spans="1:10" x14ac:dyDescent="0.3">
      <c r="A31" s="8" t="s">
        <v>237</v>
      </c>
      <c r="B31" s="9">
        <v>46241</v>
      </c>
      <c r="C31" s="8" t="s">
        <v>251</v>
      </c>
      <c r="D31" s="8" t="s">
        <v>259</v>
      </c>
      <c r="E31" s="8" t="s">
        <v>252</v>
      </c>
      <c r="F31" s="8" t="s">
        <v>253</v>
      </c>
      <c r="G31" s="8" t="s">
        <v>175</v>
      </c>
      <c r="H31" s="8">
        <v>4</v>
      </c>
      <c r="I31" s="8">
        <v>150000</v>
      </c>
      <c r="J31" s="8" t="s">
        <v>180</v>
      </c>
    </row>
    <row r="32" spans="1:10" x14ac:dyDescent="0.3">
      <c r="A32" s="8" t="s">
        <v>238</v>
      </c>
      <c r="B32" s="9">
        <v>46213</v>
      </c>
      <c r="C32" s="8" t="s">
        <v>254</v>
      </c>
      <c r="D32" s="8" t="s">
        <v>260</v>
      </c>
      <c r="E32" s="8" t="s">
        <v>255</v>
      </c>
      <c r="F32" s="8" t="s">
        <v>172</v>
      </c>
      <c r="G32" s="8" t="s">
        <v>138</v>
      </c>
      <c r="H32" s="8">
        <v>5</v>
      </c>
      <c r="I32" s="8">
        <v>1750000</v>
      </c>
      <c r="J32" s="8" t="s">
        <v>182</v>
      </c>
    </row>
    <row r="33" spans="1:10" x14ac:dyDescent="0.3">
      <c r="A33" s="8" t="s">
        <v>239</v>
      </c>
      <c r="B33" s="9"/>
      <c r="C33" s="8" t="s">
        <v>242</v>
      </c>
      <c r="D33" s="8" t="s">
        <v>249</v>
      </c>
      <c r="E33" s="8" t="s">
        <v>243</v>
      </c>
      <c r="F33" s="8" t="s">
        <v>241</v>
      </c>
      <c r="G33" s="8" t="s">
        <v>141</v>
      </c>
      <c r="H33" s="8">
        <v>1</v>
      </c>
      <c r="I33" s="8">
        <v>245000</v>
      </c>
      <c r="J33" s="8" t="s">
        <v>168</v>
      </c>
    </row>
    <row r="34" spans="1:10" x14ac:dyDescent="0.3">
      <c r="A34" s="8" t="s">
        <v>240</v>
      </c>
      <c r="B34" s="9"/>
      <c r="C34" s="8" t="s">
        <v>244</v>
      </c>
      <c r="D34" s="8" t="s">
        <v>170</v>
      </c>
      <c r="E34" s="8" t="s">
        <v>171</v>
      </c>
      <c r="F34" s="8" t="s">
        <v>172</v>
      </c>
      <c r="G34" s="8" t="s">
        <v>144</v>
      </c>
      <c r="H34" s="8">
        <v>2</v>
      </c>
      <c r="I34" s="8">
        <v>620000</v>
      </c>
      <c r="J34" s="8" t="s">
        <v>173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F63A6-6967-4114-8184-5BD0871D6C79}">
  <dimension ref="A1:T67"/>
  <sheetViews>
    <sheetView tabSelected="1" workbookViewId="0">
      <selection activeCell="E9" sqref="E9"/>
    </sheetView>
  </sheetViews>
  <sheetFormatPr defaultRowHeight="14.4" x14ac:dyDescent="0.3"/>
  <cols>
    <col min="1" max="1" width="10.21875" bestFit="1" customWidth="1"/>
    <col min="2" max="2" width="12.33203125" bestFit="1" customWidth="1"/>
    <col min="3" max="3" width="14.44140625" bestFit="1" customWidth="1"/>
    <col min="4" max="4" width="16.88671875" bestFit="1" customWidth="1"/>
    <col min="5" max="5" width="9" bestFit="1" customWidth="1"/>
    <col min="6" max="6" width="11.6640625" bestFit="1" customWidth="1"/>
    <col min="7" max="7" width="15" bestFit="1" customWidth="1"/>
    <col min="8" max="8" width="12.109375" bestFit="1" customWidth="1"/>
    <col min="9" max="9" width="17.77734375" bestFit="1" customWidth="1"/>
    <col min="10" max="11" width="10.5546875" bestFit="1" customWidth="1"/>
    <col min="12" max="12" width="11.109375" bestFit="1" customWidth="1"/>
    <col min="13" max="13" width="29.88671875" bestFit="1" customWidth="1"/>
    <col min="14" max="14" width="25.21875" bestFit="1" customWidth="1"/>
    <col min="15" max="15" width="30" bestFit="1" customWidth="1"/>
    <col min="16" max="16" width="25.33203125" bestFit="1" customWidth="1"/>
    <col min="17" max="17" width="18.77734375" bestFit="1" customWidth="1"/>
    <col min="18" max="18" width="19.88671875" bestFit="1" customWidth="1"/>
    <col min="19" max="19" width="8" bestFit="1" customWidth="1"/>
    <col min="20" max="20" width="14.44140625" customWidth="1"/>
  </cols>
  <sheetData>
    <row r="1" spans="1:20" x14ac:dyDescent="0.3">
      <c r="A1" t="s">
        <v>158</v>
      </c>
      <c r="B1" t="s">
        <v>159</v>
      </c>
      <c r="C1" t="s">
        <v>295</v>
      </c>
      <c r="D1" t="s">
        <v>160</v>
      </c>
      <c r="E1" t="s">
        <v>161</v>
      </c>
      <c r="F1" t="s">
        <v>162</v>
      </c>
      <c r="G1" t="s">
        <v>163</v>
      </c>
      <c r="H1" t="s">
        <v>133</v>
      </c>
      <c r="I1" t="s">
        <v>265</v>
      </c>
      <c r="J1" t="s">
        <v>164</v>
      </c>
      <c r="K1" t="s">
        <v>165</v>
      </c>
      <c r="L1" t="s">
        <v>166</v>
      </c>
      <c r="M1" t="s">
        <v>261</v>
      </c>
      <c r="N1" t="s">
        <v>262</v>
      </c>
      <c r="O1" t="s">
        <v>263</v>
      </c>
      <c r="P1" t="s">
        <v>264</v>
      </c>
      <c r="Q1" t="s">
        <v>91</v>
      </c>
      <c r="R1" t="s">
        <v>94</v>
      </c>
      <c r="S1" t="s">
        <v>97</v>
      </c>
      <c r="T1" t="s">
        <v>266</v>
      </c>
    </row>
    <row r="2" spans="1:20" x14ac:dyDescent="0.3">
      <c r="A2" s="8" t="s">
        <v>167</v>
      </c>
      <c r="B2" s="9">
        <v>46179</v>
      </c>
      <c r="C2" s="8" t="s">
        <v>296</v>
      </c>
      <c r="D2" s="8" t="s">
        <v>242</v>
      </c>
      <c r="E2" s="8" t="s">
        <v>249</v>
      </c>
      <c r="F2" s="8" t="s">
        <v>243</v>
      </c>
      <c r="G2" s="8" t="s">
        <v>241</v>
      </c>
      <c r="H2" s="8" t="s">
        <v>154</v>
      </c>
      <c r="J2">
        <v>1</v>
      </c>
      <c r="K2">
        <v>85000</v>
      </c>
      <c r="L2" s="8" t="s">
        <v>168</v>
      </c>
      <c r="M2" s="8" t="s">
        <v>155</v>
      </c>
      <c r="N2" s="8" t="s">
        <v>153</v>
      </c>
      <c r="O2">
        <v>85000</v>
      </c>
      <c r="P2">
        <v>43000</v>
      </c>
      <c r="Q2">
        <v>85000</v>
      </c>
      <c r="R2">
        <v>0</v>
      </c>
      <c r="S2">
        <v>42000</v>
      </c>
      <c r="T2" t="s">
        <v>267</v>
      </c>
    </row>
    <row r="3" spans="1:20" x14ac:dyDescent="0.3">
      <c r="A3" s="8" t="s">
        <v>169</v>
      </c>
      <c r="B3" s="9">
        <v>46181</v>
      </c>
      <c r="C3" s="8" t="s">
        <v>296</v>
      </c>
      <c r="D3" s="8" t="s">
        <v>244</v>
      </c>
      <c r="E3" s="8" t="s">
        <v>170</v>
      </c>
      <c r="F3" s="8" t="s">
        <v>171</v>
      </c>
      <c r="G3" s="8" t="s">
        <v>172</v>
      </c>
      <c r="H3" s="8" t="s">
        <v>156</v>
      </c>
      <c r="J3">
        <v>2</v>
      </c>
      <c r="K3">
        <v>950000</v>
      </c>
      <c r="L3" s="8" t="s">
        <v>173</v>
      </c>
      <c r="M3" s="8" t="s">
        <v>157</v>
      </c>
      <c r="N3" s="8" t="s">
        <v>140</v>
      </c>
      <c r="O3">
        <v>475000</v>
      </c>
      <c r="P3">
        <v>285000</v>
      </c>
      <c r="Q3">
        <v>950000</v>
      </c>
      <c r="R3">
        <v>0</v>
      </c>
      <c r="S3">
        <v>380000</v>
      </c>
      <c r="T3" t="s">
        <v>267</v>
      </c>
    </row>
    <row r="4" spans="1:20" x14ac:dyDescent="0.3">
      <c r="A4" s="8" t="s">
        <v>174</v>
      </c>
      <c r="B4" s="9">
        <v>46183</v>
      </c>
      <c r="C4" s="8" t="s">
        <v>296</v>
      </c>
      <c r="D4" s="8" t="s">
        <v>245</v>
      </c>
      <c r="E4" s="8" t="s">
        <v>258</v>
      </c>
      <c r="F4" s="8" t="s">
        <v>246</v>
      </c>
      <c r="G4" s="8" t="s">
        <v>247</v>
      </c>
      <c r="H4" s="8" t="s">
        <v>175</v>
      </c>
      <c r="I4" t="s">
        <v>268</v>
      </c>
      <c r="J4">
        <v>3</v>
      </c>
      <c r="K4">
        <v>150000</v>
      </c>
      <c r="L4" s="8" t="s">
        <v>176</v>
      </c>
      <c r="M4" s="8"/>
      <c r="N4" s="8"/>
      <c r="T4" t="s">
        <v>269</v>
      </c>
    </row>
    <row r="5" spans="1:20" x14ac:dyDescent="0.3">
      <c r="A5" s="8" t="s">
        <v>177</v>
      </c>
      <c r="B5" s="9">
        <v>46362</v>
      </c>
      <c r="C5" s="8" t="s">
        <v>297</v>
      </c>
      <c r="D5" s="8" t="s">
        <v>248</v>
      </c>
      <c r="E5" s="8" t="s">
        <v>249</v>
      </c>
      <c r="F5" s="8" t="s">
        <v>250</v>
      </c>
      <c r="G5" s="8" t="s">
        <v>172</v>
      </c>
      <c r="H5" s="8" t="s">
        <v>138</v>
      </c>
      <c r="J5">
        <v>4</v>
      </c>
      <c r="K5">
        <v>1400000</v>
      </c>
      <c r="L5" s="8" t="s">
        <v>178</v>
      </c>
      <c r="M5" s="8" t="s">
        <v>139</v>
      </c>
      <c r="N5" s="8" t="s">
        <v>140</v>
      </c>
      <c r="O5">
        <v>350000</v>
      </c>
      <c r="P5">
        <v>210000</v>
      </c>
      <c r="Q5">
        <v>1400000</v>
      </c>
      <c r="R5">
        <v>0</v>
      </c>
      <c r="S5">
        <v>560000</v>
      </c>
      <c r="T5" t="s">
        <v>267</v>
      </c>
    </row>
    <row r="6" spans="1:20" x14ac:dyDescent="0.3">
      <c r="A6" s="8" t="s">
        <v>179</v>
      </c>
      <c r="B6" s="9"/>
      <c r="C6" s="8"/>
      <c r="D6" s="8" t="s">
        <v>251</v>
      </c>
      <c r="E6" s="8" t="s">
        <v>259</v>
      </c>
      <c r="F6" s="8" t="s">
        <v>252</v>
      </c>
      <c r="G6" s="8" t="s">
        <v>253</v>
      </c>
      <c r="H6" s="8" t="s">
        <v>141</v>
      </c>
      <c r="K6">
        <v>1225000</v>
      </c>
      <c r="L6" s="8" t="s">
        <v>180</v>
      </c>
      <c r="M6" s="8" t="s">
        <v>142</v>
      </c>
      <c r="N6" s="8" t="s">
        <v>143</v>
      </c>
      <c r="O6">
        <v>245000</v>
      </c>
      <c r="P6">
        <v>145000</v>
      </c>
      <c r="T6" t="s">
        <v>270</v>
      </c>
    </row>
    <row r="7" spans="1:20" x14ac:dyDescent="0.3">
      <c r="A7" s="8" t="s">
        <v>181</v>
      </c>
      <c r="B7" s="9">
        <v>46189</v>
      </c>
      <c r="C7" s="8" t="s">
        <v>296</v>
      </c>
      <c r="D7" s="8" t="s">
        <v>254</v>
      </c>
      <c r="E7" s="8" t="s">
        <v>260</v>
      </c>
      <c r="F7" s="8" t="s">
        <v>255</v>
      </c>
      <c r="G7" s="8" t="s">
        <v>172</v>
      </c>
      <c r="H7" s="8" t="s">
        <v>144</v>
      </c>
      <c r="J7">
        <v>1</v>
      </c>
      <c r="K7">
        <v>310000</v>
      </c>
      <c r="L7" s="8" t="s">
        <v>182</v>
      </c>
      <c r="M7" s="8" t="s">
        <v>145</v>
      </c>
      <c r="N7" s="8" t="s">
        <v>143</v>
      </c>
      <c r="O7">
        <v>310000</v>
      </c>
      <c r="P7">
        <v>190000</v>
      </c>
      <c r="Q7">
        <v>310000</v>
      </c>
      <c r="R7">
        <v>0</v>
      </c>
      <c r="S7">
        <v>120000</v>
      </c>
      <c r="T7" t="s">
        <v>267</v>
      </c>
    </row>
    <row r="8" spans="1:20" x14ac:dyDescent="0.3">
      <c r="A8" s="8" t="s">
        <v>181</v>
      </c>
      <c r="B8" s="9">
        <v>46189</v>
      </c>
      <c r="C8" s="8" t="s">
        <v>296</v>
      </c>
      <c r="D8" s="8" t="s">
        <v>254</v>
      </c>
      <c r="E8" s="8" t="s">
        <v>260</v>
      </c>
      <c r="F8" s="8" t="s">
        <v>255</v>
      </c>
      <c r="G8" s="8" t="s">
        <v>172</v>
      </c>
      <c r="H8" s="8" t="s">
        <v>144</v>
      </c>
      <c r="J8">
        <v>1</v>
      </c>
      <c r="K8">
        <v>310000</v>
      </c>
      <c r="L8" s="8" t="s">
        <v>182</v>
      </c>
      <c r="M8" s="8" t="s">
        <v>145</v>
      </c>
      <c r="N8" s="8" t="s">
        <v>143</v>
      </c>
      <c r="O8">
        <v>310000</v>
      </c>
      <c r="P8">
        <v>190000</v>
      </c>
      <c r="Q8">
        <v>310000</v>
      </c>
      <c r="R8">
        <v>0</v>
      </c>
      <c r="S8">
        <v>120000</v>
      </c>
      <c r="T8" t="s">
        <v>267</v>
      </c>
    </row>
    <row r="9" spans="1:20" x14ac:dyDescent="0.3">
      <c r="A9" s="8" t="s">
        <v>183</v>
      </c>
      <c r="B9" s="9">
        <v>46191</v>
      </c>
      <c r="C9" s="8" t="s">
        <v>296</v>
      </c>
      <c r="D9" s="8" t="s">
        <v>242</v>
      </c>
      <c r="E9" s="8" t="s">
        <v>249</v>
      </c>
      <c r="F9" s="8" t="s">
        <v>243</v>
      </c>
      <c r="G9" s="8" t="s">
        <v>241</v>
      </c>
      <c r="H9" s="8" t="s">
        <v>146</v>
      </c>
      <c r="J9">
        <v>2</v>
      </c>
      <c r="K9">
        <v>2950000</v>
      </c>
      <c r="L9" s="8" t="s">
        <v>168</v>
      </c>
      <c r="M9" s="8" t="s">
        <v>147</v>
      </c>
      <c r="N9" s="8" t="s">
        <v>148</v>
      </c>
      <c r="O9">
        <v>1450000</v>
      </c>
      <c r="P9">
        <v>980000</v>
      </c>
      <c r="Q9">
        <v>2900000</v>
      </c>
      <c r="R9">
        <v>50000</v>
      </c>
      <c r="S9">
        <v>940000</v>
      </c>
      <c r="T9" t="s">
        <v>271</v>
      </c>
    </row>
    <row r="10" spans="1:20" x14ac:dyDescent="0.3">
      <c r="A10" s="8" t="s">
        <v>184</v>
      </c>
      <c r="B10" s="9"/>
      <c r="C10" s="8"/>
      <c r="D10" s="8" t="s">
        <v>244</v>
      </c>
      <c r="E10" s="8" t="s">
        <v>170</v>
      </c>
      <c r="F10" s="8" t="s">
        <v>171</v>
      </c>
      <c r="G10" s="8" t="s">
        <v>172</v>
      </c>
      <c r="H10" s="8" t="s">
        <v>149</v>
      </c>
      <c r="J10">
        <v>3</v>
      </c>
      <c r="K10">
        <v>825000</v>
      </c>
      <c r="L10" s="8" t="s">
        <v>173</v>
      </c>
      <c r="M10" s="8" t="s">
        <v>150</v>
      </c>
      <c r="N10" s="8" t="s">
        <v>148</v>
      </c>
      <c r="O10">
        <v>275000</v>
      </c>
      <c r="P10">
        <v>155000</v>
      </c>
      <c r="Q10">
        <v>825000</v>
      </c>
      <c r="R10">
        <v>0</v>
      </c>
      <c r="S10">
        <v>360000</v>
      </c>
      <c r="T10" t="s">
        <v>267</v>
      </c>
    </row>
    <row r="11" spans="1:20" x14ac:dyDescent="0.3">
      <c r="A11" s="8" t="s">
        <v>185</v>
      </c>
      <c r="B11" s="9"/>
      <c r="C11" s="8"/>
      <c r="D11" s="8" t="s">
        <v>245</v>
      </c>
      <c r="E11" s="8" t="s">
        <v>258</v>
      </c>
      <c r="F11" s="8" t="s">
        <v>246</v>
      </c>
      <c r="G11" s="8" t="s">
        <v>247</v>
      </c>
      <c r="H11" s="8" t="s">
        <v>151</v>
      </c>
      <c r="J11">
        <v>4</v>
      </c>
      <c r="K11">
        <v>260000</v>
      </c>
      <c r="L11" s="8" t="s">
        <v>176</v>
      </c>
      <c r="M11" s="8" t="s">
        <v>152</v>
      </c>
      <c r="N11" s="8" t="s">
        <v>153</v>
      </c>
      <c r="O11">
        <v>65000</v>
      </c>
      <c r="P11">
        <v>31000</v>
      </c>
      <c r="Q11">
        <v>260000</v>
      </c>
      <c r="R11">
        <v>0</v>
      </c>
      <c r="S11">
        <v>136000</v>
      </c>
      <c r="T11" t="s">
        <v>267</v>
      </c>
    </row>
    <row r="12" spans="1:20" x14ac:dyDescent="0.3">
      <c r="A12" s="8" t="s">
        <v>186</v>
      </c>
      <c r="B12" s="9">
        <v>46197</v>
      </c>
      <c r="C12" s="8" t="s">
        <v>296</v>
      </c>
      <c r="D12" s="8" t="s">
        <v>248</v>
      </c>
      <c r="E12" s="8" t="s">
        <v>249</v>
      </c>
      <c r="F12" s="8" t="s">
        <v>250</v>
      </c>
      <c r="G12" s="8" t="s">
        <v>172</v>
      </c>
      <c r="H12" s="8" t="s">
        <v>154</v>
      </c>
      <c r="J12">
        <v>5</v>
      </c>
      <c r="K12">
        <v>425000</v>
      </c>
      <c r="L12" s="8" t="s">
        <v>178</v>
      </c>
      <c r="M12" s="8" t="s">
        <v>155</v>
      </c>
      <c r="N12" s="8" t="s">
        <v>153</v>
      </c>
      <c r="O12">
        <v>85000</v>
      </c>
      <c r="P12">
        <v>43000</v>
      </c>
      <c r="Q12">
        <v>425000</v>
      </c>
      <c r="R12">
        <v>0</v>
      </c>
      <c r="S12">
        <v>210000</v>
      </c>
      <c r="T12" t="s">
        <v>267</v>
      </c>
    </row>
    <row r="13" spans="1:20" x14ac:dyDescent="0.3">
      <c r="A13" s="8" t="s">
        <v>187</v>
      </c>
      <c r="B13" s="9">
        <v>46199</v>
      </c>
      <c r="C13" s="8" t="s">
        <v>296</v>
      </c>
      <c r="D13" s="8" t="s">
        <v>251</v>
      </c>
      <c r="E13" s="8" t="s">
        <v>259</v>
      </c>
      <c r="F13" s="8" t="s">
        <v>252</v>
      </c>
      <c r="G13" s="8" t="s">
        <v>253</v>
      </c>
      <c r="H13" s="8" t="s">
        <v>156</v>
      </c>
      <c r="J13">
        <v>1</v>
      </c>
      <c r="K13">
        <v>475000</v>
      </c>
      <c r="L13" s="8" t="s">
        <v>180</v>
      </c>
      <c r="M13" s="8" t="s">
        <v>157</v>
      </c>
      <c r="N13" s="8" t="s">
        <v>140</v>
      </c>
      <c r="O13">
        <v>475000</v>
      </c>
      <c r="P13">
        <v>285000</v>
      </c>
      <c r="Q13">
        <v>475000</v>
      </c>
      <c r="R13">
        <v>0</v>
      </c>
      <c r="S13">
        <v>190000</v>
      </c>
      <c r="T13" t="s">
        <v>267</v>
      </c>
    </row>
    <row r="14" spans="1:20" x14ac:dyDescent="0.3">
      <c r="A14" s="8" t="s">
        <v>188</v>
      </c>
      <c r="B14" s="9">
        <v>46028</v>
      </c>
      <c r="C14" s="8" t="s">
        <v>298</v>
      </c>
      <c r="D14" s="8" t="s">
        <v>254</v>
      </c>
      <c r="E14" s="8" t="s">
        <v>260</v>
      </c>
      <c r="F14" s="8" t="s">
        <v>255</v>
      </c>
      <c r="G14" s="8" t="s">
        <v>172</v>
      </c>
      <c r="H14" s="8" t="s">
        <v>175</v>
      </c>
      <c r="I14" t="s">
        <v>268</v>
      </c>
      <c r="J14">
        <v>3</v>
      </c>
      <c r="K14">
        <v>150000</v>
      </c>
      <c r="L14" s="8" t="s">
        <v>182</v>
      </c>
      <c r="M14" s="8"/>
      <c r="N14" s="8"/>
      <c r="T14" t="s">
        <v>269</v>
      </c>
    </row>
    <row r="15" spans="1:20" x14ac:dyDescent="0.3">
      <c r="A15" s="8" t="s">
        <v>189</v>
      </c>
      <c r="B15" s="9">
        <v>46087</v>
      </c>
      <c r="C15" s="8" t="s">
        <v>299</v>
      </c>
      <c r="D15" s="8" t="s">
        <v>242</v>
      </c>
      <c r="E15" s="8" t="s">
        <v>249</v>
      </c>
      <c r="F15" s="8" t="s">
        <v>243</v>
      </c>
      <c r="G15" s="8" t="s">
        <v>241</v>
      </c>
      <c r="H15" s="8" t="s">
        <v>138</v>
      </c>
      <c r="J15">
        <v>3</v>
      </c>
      <c r="K15">
        <v>1050000</v>
      </c>
      <c r="L15" s="8" t="s">
        <v>168</v>
      </c>
      <c r="M15" s="8" t="s">
        <v>139</v>
      </c>
      <c r="N15" s="8" t="s">
        <v>140</v>
      </c>
      <c r="O15">
        <v>350000</v>
      </c>
      <c r="P15">
        <v>210000</v>
      </c>
      <c r="Q15">
        <v>1050000</v>
      </c>
      <c r="R15">
        <v>0</v>
      </c>
      <c r="S15">
        <v>420000</v>
      </c>
      <c r="T15" t="s">
        <v>267</v>
      </c>
    </row>
    <row r="16" spans="1:20" x14ac:dyDescent="0.3">
      <c r="A16" s="8" t="s">
        <v>190</v>
      </c>
      <c r="B16" s="9">
        <v>46178</v>
      </c>
      <c r="C16" s="8" t="s">
        <v>296</v>
      </c>
      <c r="D16" s="8" t="s">
        <v>244</v>
      </c>
      <c r="E16" s="8" t="s">
        <v>170</v>
      </c>
      <c r="F16" s="8" t="s">
        <v>171</v>
      </c>
      <c r="G16" s="8" t="s">
        <v>172</v>
      </c>
      <c r="H16" s="8" t="s">
        <v>141</v>
      </c>
      <c r="J16">
        <v>4</v>
      </c>
      <c r="K16">
        <v>980000</v>
      </c>
      <c r="L16" s="8" t="s">
        <v>173</v>
      </c>
      <c r="M16" s="8" t="s">
        <v>142</v>
      </c>
      <c r="N16" s="8" t="s">
        <v>143</v>
      </c>
      <c r="O16">
        <v>245000</v>
      </c>
      <c r="P16">
        <v>145000</v>
      </c>
      <c r="Q16">
        <v>980000</v>
      </c>
      <c r="R16">
        <v>0</v>
      </c>
      <c r="S16">
        <v>400000</v>
      </c>
      <c r="T16" t="s">
        <v>267</v>
      </c>
    </row>
    <row r="17" spans="1:20" x14ac:dyDescent="0.3">
      <c r="A17" s="8" t="s">
        <v>191</v>
      </c>
      <c r="B17" s="9">
        <v>46180</v>
      </c>
      <c r="C17" s="8" t="s">
        <v>296</v>
      </c>
      <c r="D17" s="8" t="s">
        <v>245</v>
      </c>
      <c r="E17" s="8" t="s">
        <v>258</v>
      </c>
      <c r="F17" s="8" t="s">
        <v>246</v>
      </c>
      <c r="G17" s="8" t="s">
        <v>247</v>
      </c>
      <c r="H17" s="8" t="s">
        <v>144</v>
      </c>
      <c r="J17">
        <v>5</v>
      </c>
      <c r="L17" s="8" t="s">
        <v>176</v>
      </c>
      <c r="M17" s="8" t="s">
        <v>145</v>
      </c>
      <c r="N17" s="8" t="s">
        <v>143</v>
      </c>
      <c r="O17">
        <v>310000</v>
      </c>
      <c r="P17">
        <v>190000</v>
      </c>
      <c r="Q17">
        <v>1550000</v>
      </c>
      <c r="S17">
        <v>600000</v>
      </c>
      <c r="T17" t="s">
        <v>272</v>
      </c>
    </row>
    <row r="18" spans="1:20" x14ac:dyDescent="0.3">
      <c r="A18" s="8" t="s">
        <v>192</v>
      </c>
      <c r="B18" s="9">
        <v>46271</v>
      </c>
      <c r="C18" s="8" t="s">
        <v>300</v>
      </c>
      <c r="D18" s="8" t="s">
        <v>248</v>
      </c>
      <c r="E18" s="8" t="s">
        <v>249</v>
      </c>
      <c r="F18" s="8" t="s">
        <v>250</v>
      </c>
      <c r="G18" s="8" t="s">
        <v>172</v>
      </c>
      <c r="H18" s="8" t="s">
        <v>146</v>
      </c>
      <c r="J18">
        <v>1</v>
      </c>
      <c r="K18">
        <v>1450000</v>
      </c>
      <c r="L18" s="8" t="s">
        <v>178</v>
      </c>
      <c r="M18" s="8" t="s">
        <v>147</v>
      </c>
      <c r="N18" s="8" t="s">
        <v>148</v>
      </c>
      <c r="O18">
        <v>1450000</v>
      </c>
      <c r="P18">
        <v>980000</v>
      </c>
      <c r="Q18">
        <v>1450000</v>
      </c>
      <c r="R18">
        <v>0</v>
      </c>
      <c r="S18">
        <v>470000</v>
      </c>
      <c r="T18" t="s">
        <v>267</v>
      </c>
    </row>
    <row r="19" spans="1:20" x14ac:dyDescent="0.3">
      <c r="A19" s="8" t="s">
        <v>193</v>
      </c>
      <c r="B19" s="9">
        <v>46332</v>
      </c>
      <c r="C19" s="8" t="s">
        <v>301</v>
      </c>
      <c r="D19" s="8" t="s">
        <v>251</v>
      </c>
      <c r="E19" s="8" t="s">
        <v>259</v>
      </c>
      <c r="F19" s="8" t="s">
        <v>252</v>
      </c>
      <c r="G19" s="8" t="s">
        <v>253</v>
      </c>
      <c r="H19" s="8" t="s">
        <v>149</v>
      </c>
      <c r="J19">
        <v>2</v>
      </c>
      <c r="K19">
        <v>550000</v>
      </c>
      <c r="L19" s="8" t="s">
        <v>180</v>
      </c>
      <c r="M19" s="8" t="s">
        <v>150</v>
      </c>
      <c r="N19" s="8" t="s">
        <v>148</v>
      </c>
      <c r="O19">
        <v>275000</v>
      </c>
      <c r="P19">
        <v>155000</v>
      </c>
      <c r="Q19">
        <v>550000</v>
      </c>
      <c r="R19">
        <v>0</v>
      </c>
      <c r="S19">
        <v>240000</v>
      </c>
      <c r="T19" t="s">
        <v>267</v>
      </c>
    </row>
    <row r="20" spans="1:20" x14ac:dyDescent="0.3">
      <c r="A20" s="8" t="s">
        <v>194</v>
      </c>
      <c r="B20" s="9">
        <v>46186</v>
      </c>
      <c r="C20" s="8" t="s">
        <v>296</v>
      </c>
      <c r="D20" s="8" t="s">
        <v>254</v>
      </c>
      <c r="E20" s="8" t="s">
        <v>260</v>
      </c>
      <c r="F20" s="8" t="s">
        <v>255</v>
      </c>
      <c r="G20" s="8" t="s">
        <v>172</v>
      </c>
      <c r="H20" s="8" t="s">
        <v>151</v>
      </c>
      <c r="K20">
        <v>195000</v>
      </c>
      <c r="L20" s="8" t="s">
        <v>182</v>
      </c>
      <c r="M20" s="8" t="s">
        <v>152</v>
      </c>
      <c r="N20" s="8" t="s">
        <v>153</v>
      </c>
      <c r="O20">
        <v>65000</v>
      </c>
      <c r="P20">
        <v>31000</v>
      </c>
      <c r="T20" t="s">
        <v>270</v>
      </c>
    </row>
    <row r="21" spans="1:20" x14ac:dyDescent="0.3">
      <c r="A21" s="8" t="s">
        <v>195</v>
      </c>
      <c r="B21" s="9">
        <v>46188</v>
      </c>
      <c r="C21" s="8" t="s">
        <v>296</v>
      </c>
      <c r="D21" s="8" t="s">
        <v>242</v>
      </c>
      <c r="E21" s="8" t="s">
        <v>249</v>
      </c>
      <c r="F21" s="8" t="s">
        <v>243</v>
      </c>
      <c r="G21" s="8" t="s">
        <v>241</v>
      </c>
      <c r="H21" s="8" t="s">
        <v>154</v>
      </c>
      <c r="J21">
        <v>4</v>
      </c>
      <c r="K21">
        <v>340000</v>
      </c>
      <c r="L21" s="8" t="s">
        <v>168</v>
      </c>
      <c r="M21" s="8" t="s">
        <v>155</v>
      </c>
      <c r="N21" s="8" t="s">
        <v>153</v>
      </c>
      <c r="O21">
        <v>85000</v>
      </c>
      <c r="P21">
        <v>43000</v>
      </c>
      <c r="Q21">
        <v>340000</v>
      </c>
      <c r="R21">
        <v>0</v>
      </c>
      <c r="S21">
        <v>168000</v>
      </c>
      <c r="T21" t="s">
        <v>267</v>
      </c>
    </row>
    <row r="22" spans="1:20" x14ac:dyDescent="0.3">
      <c r="A22" s="8" t="s">
        <v>196</v>
      </c>
      <c r="B22" s="9"/>
      <c r="C22" s="8"/>
      <c r="D22" s="8" t="s">
        <v>244</v>
      </c>
      <c r="E22" s="8" t="s">
        <v>170</v>
      </c>
      <c r="F22" s="8" t="s">
        <v>171</v>
      </c>
      <c r="G22" s="8" t="s">
        <v>172</v>
      </c>
      <c r="H22" s="8" t="s">
        <v>156</v>
      </c>
      <c r="J22">
        <v>5</v>
      </c>
      <c r="K22">
        <v>2375000</v>
      </c>
      <c r="L22" s="8" t="s">
        <v>173</v>
      </c>
      <c r="M22" s="8" t="s">
        <v>157</v>
      </c>
      <c r="N22" s="8" t="s">
        <v>140</v>
      </c>
      <c r="O22">
        <v>475000</v>
      </c>
      <c r="P22">
        <v>285000</v>
      </c>
      <c r="Q22">
        <v>2375000</v>
      </c>
      <c r="R22">
        <v>0</v>
      </c>
      <c r="S22">
        <v>950000</v>
      </c>
      <c r="T22" t="s">
        <v>267</v>
      </c>
    </row>
    <row r="23" spans="1:20" x14ac:dyDescent="0.3">
      <c r="A23" s="8" t="s">
        <v>197</v>
      </c>
      <c r="B23" s="9"/>
      <c r="C23" s="8"/>
      <c r="D23" s="8" t="s">
        <v>245</v>
      </c>
      <c r="E23" s="8" t="s">
        <v>258</v>
      </c>
      <c r="F23" s="8" t="s">
        <v>246</v>
      </c>
      <c r="G23" s="8" t="s">
        <v>247</v>
      </c>
      <c r="H23" s="8" t="s">
        <v>175</v>
      </c>
      <c r="I23" t="s">
        <v>268</v>
      </c>
      <c r="J23">
        <v>1</v>
      </c>
      <c r="K23">
        <v>150000</v>
      </c>
      <c r="L23" s="8" t="s">
        <v>176</v>
      </c>
      <c r="M23" s="8"/>
      <c r="N23" s="8"/>
      <c r="T23" t="s">
        <v>269</v>
      </c>
    </row>
    <row r="24" spans="1:20" x14ac:dyDescent="0.3">
      <c r="A24" s="8" t="s">
        <v>198</v>
      </c>
      <c r="B24" s="9">
        <v>46194</v>
      </c>
      <c r="C24" s="8" t="s">
        <v>296</v>
      </c>
      <c r="D24" s="8" t="s">
        <v>248</v>
      </c>
      <c r="E24" s="8" t="s">
        <v>249</v>
      </c>
      <c r="F24" s="8" t="s">
        <v>250</v>
      </c>
      <c r="G24" s="8" t="s">
        <v>172</v>
      </c>
      <c r="H24" s="8" t="s">
        <v>138</v>
      </c>
      <c r="J24">
        <v>2</v>
      </c>
      <c r="K24">
        <v>700000</v>
      </c>
      <c r="L24" s="8" t="s">
        <v>178</v>
      </c>
      <c r="M24" s="8" t="s">
        <v>139</v>
      </c>
      <c r="N24" s="8" t="s">
        <v>140</v>
      </c>
      <c r="O24">
        <v>350000</v>
      </c>
      <c r="P24">
        <v>210000</v>
      </c>
      <c r="Q24">
        <v>700000</v>
      </c>
      <c r="R24">
        <v>0</v>
      </c>
      <c r="S24">
        <v>280000</v>
      </c>
      <c r="T24" t="s">
        <v>267</v>
      </c>
    </row>
    <row r="25" spans="1:20" x14ac:dyDescent="0.3">
      <c r="A25" s="8" t="s">
        <v>199</v>
      </c>
      <c r="B25" s="9">
        <v>46196</v>
      </c>
      <c r="C25" s="8" t="s">
        <v>296</v>
      </c>
      <c r="D25" s="8" t="s">
        <v>251</v>
      </c>
      <c r="E25" s="8" t="s">
        <v>259</v>
      </c>
      <c r="F25" s="8" t="s">
        <v>252</v>
      </c>
      <c r="G25" s="8" t="s">
        <v>253</v>
      </c>
      <c r="H25" s="8" t="s">
        <v>141</v>
      </c>
      <c r="J25">
        <v>3</v>
      </c>
      <c r="K25">
        <v>735000</v>
      </c>
      <c r="L25" s="8" t="s">
        <v>180</v>
      </c>
      <c r="M25" s="8" t="s">
        <v>142</v>
      </c>
      <c r="N25" s="8" t="s">
        <v>143</v>
      </c>
      <c r="O25">
        <v>245000</v>
      </c>
      <c r="P25">
        <v>145000</v>
      </c>
      <c r="Q25">
        <v>735000</v>
      </c>
      <c r="R25">
        <v>0</v>
      </c>
      <c r="S25">
        <v>300000</v>
      </c>
      <c r="T25" t="s">
        <v>267</v>
      </c>
    </row>
    <row r="26" spans="1:20" x14ac:dyDescent="0.3">
      <c r="A26" s="8" t="s">
        <v>200</v>
      </c>
      <c r="B26" s="9"/>
      <c r="C26" s="8"/>
      <c r="D26" s="8" t="s">
        <v>254</v>
      </c>
      <c r="E26" s="8" t="s">
        <v>260</v>
      </c>
      <c r="F26" s="8" t="s">
        <v>255</v>
      </c>
      <c r="G26" s="8" t="s">
        <v>172</v>
      </c>
      <c r="H26" s="8" t="s">
        <v>144</v>
      </c>
      <c r="J26">
        <v>4</v>
      </c>
      <c r="K26">
        <v>1290000</v>
      </c>
      <c r="L26" s="8" t="s">
        <v>182</v>
      </c>
      <c r="M26" s="8" t="s">
        <v>145</v>
      </c>
      <c r="N26" s="8" t="s">
        <v>143</v>
      </c>
      <c r="O26">
        <v>310000</v>
      </c>
      <c r="P26">
        <v>190000</v>
      </c>
      <c r="Q26">
        <v>1240000</v>
      </c>
      <c r="R26">
        <v>50000</v>
      </c>
      <c r="S26">
        <v>480000</v>
      </c>
      <c r="T26" t="s">
        <v>271</v>
      </c>
    </row>
    <row r="27" spans="1:20" x14ac:dyDescent="0.3">
      <c r="A27" s="8" t="s">
        <v>201</v>
      </c>
      <c r="B27" s="9"/>
      <c r="C27" s="8"/>
      <c r="D27" s="8" t="s">
        <v>242</v>
      </c>
      <c r="E27" s="8" t="s">
        <v>249</v>
      </c>
      <c r="F27" s="8" t="s">
        <v>243</v>
      </c>
      <c r="G27" s="8" t="s">
        <v>241</v>
      </c>
      <c r="H27" s="8" t="s">
        <v>146</v>
      </c>
      <c r="J27">
        <v>1</v>
      </c>
      <c r="K27">
        <v>1450000</v>
      </c>
      <c r="L27" s="8" t="s">
        <v>168</v>
      </c>
      <c r="M27" s="8" t="s">
        <v>147</v>
      </c>
      <c r="N27" s="8" t="s">
        <v>148</v>
      </c>
      <c r="O27">
        <v>1450000</v>
      </c>
      <c r="P27">
        <v>980000</v>
      </c>
      <c r="Q27">
        <v>1450000</v>
      </c>
      <c r="R27">
        <v>0</v>
      </c>
      <c r="S27">
        <v>470000</v>
      </c>
      <c r="T27" t="s">
        <v>267</v>
      </c>
    </row>
    <row r="28" spans="1:20" x14ac:dyDescent="0.3">
      <c r="A28" s="8" t="s">
        <v>202</v>
      </c>
      <c r="B28" s="9">
        <v>46175</v>
      </c>
      <c r="C28" s="8" t="s">
        <v>296</v>
      </c>
      <c r="D28" s="8" t="s">
        <v>244</v>
      </c>
      <c r="E28" s="8" t="s">
        <v>170</v>
      </c>
      <c r="F28" s="8" t="s">
        <v>171</v>
      </c>
      <c r="G28" s="8" t="s">
        <v>172</v>
      </c>
      <c r="H28" s="8" t="s">
        <v>149</v>
      </c>
      <c r="J28">
        <v>1</v>
      </c>
      <c r="K28">
        <v>275000</v>
      </c>
      <c r="L28" s="8" t="s">
        <v>173</v>
      </c>
      <c r="M28" s="8" t="s">
        <v>150</v>
      </c>
      <c r="N28" s="8" t="s">
        <v>148</v>
      </c>
      <c r="O28">
        <v>275000</v>
      </c>
      <c r="P28">
        <v>155000</v>
      </c>
      <c r="Q28">
        <v>275000</v>
      </c>
      <c r="R28">
        <v>0</v>
      </c>
      <c r="S28">
        <v>120000</v>
      </c>
      <c r="T28" t="s">
        <v>267</v>
      </c>
    </row>
    <row r="29" spans="1:20" x14ac:dyDescent="0.3">
      <c r="A29" s="8" t="s">
        <v>203</v>
      </c>
      <c r="B29" s="9">
        <v>46177</v>
      </c>
      <c r="C29" s="8" t="s">
        <v>296</v>
      </c>
      <c r="D29" s="8" t="s">
        <v>245</v>
      </c>
      <c r="E29" s="8" t="s">
        <v>258</v>
      </c>
      <c r="F29" s="8" t="s">
        <v>246</v>
      </c>
      <c r="G29" s="8" t="s">
        <v>247</v>
      </c>
      <c r="H29" s="8" t="s">
        <v>151</v>
      </c>
      <c r="J29">
        <v>2</v>
      </c>
      <c r="K29">
        <v>130000</v>
      </c>
      <c r="L29" s="8" t="s">
        <v>176</v>
      </c>
      <c r="M29" s="8" t="s">
        <v>152</v>
      </c>
      <c r="N29" s="8" t="s">
        <v>153</v>
      </c>
      <c r="O29">
        <v>65000</v>
      </c>
      <c r="P29">
        <v>31000</v>
      </c>
      <c r="Q29">
        <v>130000</v>
      </c>
      <c r="R29">
        <v>0</v>
      </c>
      <c r="S29">
        <v>68000</v>
      </c>
      <c r="T29" t="s">
        <v>267</v>
      </c>
    </row>
    <row r="30" spans="1:20" x14ac:dyDescent="0.3">
      <c r="A30" s="8" t="s">
        <v>204</v>
      </c>
      <c r="B30" s="9">
        <v>46179</v>
      </c>
      <c r="C30" s="8" t="s">
        <v>296</v>
      </c>
      <c r="D30" s="8" t="s">
        <v>248</v>
      </c>
      <c r="E30" s="8" t="s">
        <v>249</v>
      </c>
      <c r="F30" s="8" t="s">
        <v>250</v>
      </c>
      <c r="G30" s="8" t="s">
        <v>172</v>
      </c>
      <c r="H30" s="8" t="s">
        <v>154</v>
      </c>
      <c r="J30">
        <v>3</v>
      </c>
      <c r="K30">
        <v>255000</v>
      </c>
      <c r="L30" s="8" t="s">
        <v>178</v>
      </c>
      <c r="M30" s="8" t="s">
        <v>155</v>
      </c>
      <c r="N30" s="8" t="s">
        <v>153</v>
      </c>
      <c r="O30">
        <v>85000</v>
      </c>
      <c r="P30">
        <v>43000</v>
      </c>
      <c r="Q30">
        <v>255000</v>
      </c>
      <c r="R30">
        <v>0</v>
      </c>
      <c r="S30">
        <v>126000</v>
      </c>
      <c r="T30" t="s">
        <v>267</v>
      </c>
    </row>
    <row r="31" spans="1:20" x14ac:dyDescent="0.3">
      <c r="A31" s="8" t="s">
        <v>205</v>
      </c>
      <c r="B31" s="9">
        <v>46240</v>
      </c>
      <c r="C31" s="8" t="s">
        <v>302</v>
      </c>
      <c r="D31" s="8" t="s">
        <v>251</v>
      </c>
      <c r="E31" s="8" t="s">
        <v>259</v>
      </c>
      <c r="F31" s="8" t="s">
        <v>252</v>
      </c>
      <c r="G31" s="8" t="s">
        <v>253</v>
      </c>
      <c r="H31" s="8" t="s">
        <v>156</v>
      </c>
      <c r="J31">
        <v>4</v>
      </c>
      <c r="K31">
        <v>1900000</v>
      </c>
      <c r="L31" s="8" t="s">
        <v>180</v>
      </c>
      <c r="M31" s="8" t="s">
        <v>157</v>
      </c>
      <c r="N31" s="8" t="s">
        <v>140</v>
      </c>
      <c r="O31">
        <v>475000</v>
      </c>
      <c r="P31">
        <v>285000</v>
      </c>
      <c r="Q31">
        <v>1900000</v>
      </c>
      <c r="R31">
        <v>0</v>
      </c>
      <c r="S31">
        <v>760000</v>
      </c>
      <c r="T31" t="s">
        <v>267</v>
      </c>
    </row>
    <row r="32" spans="1:20" x14ac:dyDescent="0.3">
      <c r="A32" s="8" t="s">
        <v>206</v>
      </c>
      <c r="B32" s="9">
        <v>46183</v>
      </c>
      <c r="C32" s="8" t="s">
        <v>296</v>
      </c>
      <c r="D32" s="8" t="s">
        <v>254</v>
      </c>
      <c r="E32" s="8" t="s">
        <v>260</v>
      </c>
      <c r="F32" s="8" t="s">
        <v>255</v>
      </c>
      <c r="G32" s="8" t="s">
        <v>172</v>
      </c>
      <c r="H32" s="8" t="s">
        <v>175</v>
      </c>
      <c r="I32" t="s">
        <v>268</v>
      </c>
      <c r="J32">
        <v>5</v>
      </c>
      <c r="K32">
        <v>150000</v>
      </c>
      <c r="L32" s="8" t="s">
        <v>182</v>
      </c>
      <c r="M32" s="8"/>
      <c r="N32" s="8"/>
      <c r="T32" t="s">
        <v>269</v>
      </c>
    </row>
    <row r="33" spans="1:20" x14ac:dyDescent="0.3">
      <c r="A33" s="8" t="s">
        <v>207</v>
      </c>
      <c r="B33" s="9"/>
      <c r="C33" s="8"/>
      <c r="D33" s="8" t="s">
        <v>242</v>
      </c>
      <c r="E33" s="8" t="s">
        <v>249</v>
      </c>
      <c r="F33" s="8" t="s">
        <v>243</v>
      </c>
      <c r="G33" s="8" t="s">
        <v>241</v>
      </c>
      <c r="H33" s="8" t="s">
        <v>138</v>
      </c>
      <c r="J33">
        <v>1</v>
      </c>
      <c r="K33">
        <v>350000</v>
      </c>
      <c r="L33" s="8" t="s">
        <v>168</v>
      </c>
      <c r="M33" s="8" t="s">
        <v>139</v>
      </c>
      <c r="N33" s="8" t="s">
        <v>140</v>
      </c>
      <c r="O33">
        <v>350000</v>
      </c>
      <c r="P33">
        <v>210000</v>
      </c>
      <c r="Q33">
        <v>350000</v>
      </c>
      <c r="R33">
        <v>0</v>
      </c>
      <c r="S33">
        <v>140000</v>
      </c>
      <c r="T33" t="s">
        <v>267</v>
      </c>
    </row>
    <row r="34" spans="1:20" x14ac:dyDescent="0.3">
      <c r="A34" s="8" t="s">
        <v>208</v>
      </c>
      <c r="B34" s="9"/>
      <c r="C34" s="8"/>
      <c r="D34" s="8" t="s">
        <v>244</v>
      </c>
      <c r="E34" s="8" t="s">
        <v>170</v>
      </c>
      <c r="F34" s="8" t="s">
        <v>171</v>
      </c>
      <c r="G34" s="8" t="s">
        <v>172</v>
      </c>
      <c r="H34" s="8" t="s">
        <v>141</v>
      </c>
      <c r="J34">
        <v>2</v>
      </c>
      <c r="K34">
        <v>490000</v>
      </c>
      <c r="L34" s="8" t="s">
        <v>173</v>
      </c>
      <c r="M34" s="8" t="s">
        <v>142</v>
      </c>
      <c r="N34" s="8" t="s">
        <v>143</v>
      </c>
      <c r="O34">
        <v>245000</v>
      </c>
      <c r="P34">
        <v>145000</v>
      </c>
      <c r="Q34">
        <v>490000</v>
      </c>
      <c r="R34">
        <v>0</v>
      </c>
      <c r="S34">
        <v>200000</v>
      </c>
      <c r="T34" t="s">
        <v>267</v>
      </c>
    </row>
    <row r="35" spans="1:20" x14ac:dyDescent="0.3">
      <c r="A35" s="8" t="s">
        <v>209</v>
      </c>
      <c r="B35" s="9">
        <v>46180</v>
      </c>
      <c r="C35" s="8" t="s">
        <v>296</v>
      </c>
      <c r="D35" s="8" t="s">
        <v>242</v>
      </c>
      <c r="E35" s="8" t="s">
        <v>249</v>
      </c>
      <c r="F35" s="8" t="s">
        <v>243</v>
      </c>
      <c r="G35" s="8" t="s">
        <v>241</v>
      </c>
      <c r="H35" s="8" t="s">
        <v>156</v>
      </c>
      <c r="J35">
        <v>1</v>
      </c>
      <c r="K35">
        <v>475000</v>
      </c>
      <c r="L35" s="8" t="s">
        <v>168</v>
      </c>
      <c r="M35" s="8" t="s">
        <v>157</v>
      </c>
      <c r="N35" s="8" t="s">
        <v>140</v>
      </c>
      <c r="O35">
        <v>475000</v>
      </c>
      <c r="P35">
        <v>285000</v>
      </c>
      <c r="Q35">
        <v>475000</v>
      </c>
      <c r="R35">
        <v>0</v>
      </c>
      <c r="S35">
        <v>190000</v>
      </c>
      <c r="T35" t="s">
        <v>267</v>
      </c>
    </row>
    <row r="36" spans="1:20" x14ac:dyDescent="0.3">
      <c r="A36" s="8" t="s">
        <v>210</v>
      </c>
      <c r="B36" s="9">
        <v>46211</v>
      </c>
      <c r="C36" s="8" t="s">
        <v>303</v>
      </c>
      <c r="D36" s="8" t="s">
        <v>244</v>
      </c>
      <c r="E36" s="8" t="s">
        <v>170</v>
      </c>
      <c r="F36" s="8" t="s">
        <v>171</v>
      </c>
      <c r="G36" s="8" t="s">
        <v>172</v>
      </c>
      <c r="H36" s="8" t="s">
        <v>175</v>
      </c>
      <c r="I36" t="s">
        <v>268</v>
      </c>
      <c r="J36">
        <v>2</v>
      </c>
      <c r="K36">
        <v>150000</v>
      </c>
      <c r="L36" s="8" t="s">
        <v>173</v>
      </c>
      <c r="M36" s="8"/>
      <c r="N36" s="8"/>
      <c r="T36" t="s">
        <v>269</v>
      </c>
    </row>
    <row r="37" spans="1:20" x14ac:dyDescent="0.3">
      <c r="A37" s="8" t="s">
        <v>211</v>
      </c>
      <c r="B37" s="9">
        <v>46213</v>
      </c>
      <c r="C37" s="8" t="s">
        <v>303</v>
      </c>
      <c r="D37" s="8" t="s">
        <v>245</v>
      </c>
      <c r="E37" s="8" t="s">
        <v>258</v>
      </c>
      <c r="F37" s="8" t="s">
        <v>246</v>
      </c>
      <c r="G37" s="8" t="s">
        <v>247</v>
      </c>
      <c r="H37" s="8" t="s">
        <v>138</v>
      </c>
      <c r="J37">
        <v>3</v>
      </c>
      <c r="K37">
        <v>1050000</v>
      </c>
      <c r="L37" s="8" t="s">
        <v>176</v>
      </c>
      <c r="M37" s="8" t="s">
        <v>139</v>
      </c>
      <c r="N37" s="8" t="s">
        <v>140</v>
      </c>
      <c r="O37">
        <v>350000</v>
      </c>
      <c r="P37">
        <v>210000</v>
      </c>
      <c r="Q37">
        <v>1050000</v>
      </c>
      <c r="R37">
        <v>0</v>
      </c>
      <c r="S37">
        <v>420000</v>
      </c>
      <c r="T37" t="s">
        <v>267</v>
      </c>
    </row>
    <row r="38" spans="1:20" x14ac:dyDescent="0.3">
      <c r="A38" s="8" t="s">
        <v>212</v>
      </c>
      <c r="B38" s="9">
        <v>46363</v>
      </c>
      <c r="C38" s="8" t="s">
        <v>297</v>
      </c>
      <c r="D38" s="8" t="s">
        <v>248</v>
      </c>
      <c r="E38" s="8" t="s">
        <v>249</v>
      </c>
      <c r="F38" s="8" t="s">
        <v>250</v>
      </c>
      <c r="G38" s="8" t="s">
        <v>172</v>
      </c>
      <c r="H38" s="8" t="s">
        <v>141</v>
      </c>
      <c r="J38">
        <v>4</v>
      </c>
      <c r="K38">
        <v>980000</v>
      </c>
      <c r="L38" s="8" t="s">
        <v>178</v>
      </c>
      <c r="M38" s="8" t="s">
        <v>142</v>
      </c>
      <c r="N38" s="8" t="s">
        <v>143</v>
      </c>
      <c r="O38">
        <v>245000</v>
      </c>
      <c r="P38">
        <v>145000</v>
      </c>
      <c r="Q38">
        <v>980000</v>
      </c>
      <c r="R38">
        <v>0</v>
      </c>
      <c r="S38">
        <v>400000</v>
      </c>
      <c r="T38" t="s">
        <v>267</v>
      </c>
    </row>
    <row r="39" spans="1:20" x14ac:dyDescent="0.3">
      <c r="A39" s="8" t="s">
        <v>213</v>
      </c>
      <c r="B39" s="9"/>
      <c r="C39" s="8"/>
      <c r="D39" s="8" t="s">
        <v>251</v>
      </c>
      <c r="E39" s="8" t="s">
        <v>259</v>
      </c>
      <c r="F39" s="8" t="s">
        <v>252</v>
      </c>
      <c r="G39" s="8" t="s">
        <v>253</v>
      </c>
      <c r="H39" s="8" t="s">
        <v>144</v>
      </c>
      <c r="K39">
        <v>1550000</v>
      </c>
      <c r="L39" s="8" t="s">
        <v>180</v>
      </c>
      <c r="M39" s="8" t="s">
        <v>145</v>
      </c>
      <c r="N39" s="8" t="s">
        <v>143</v>
      </c>
      <c r="O39">
        <v>310000</v>
      </c>
      <c r="P39">
        <v>190000</v>
      </c>
      <c r="T39" t="s">
        <v>270</v>
      </c>
    </row>
    <row r="40" spans="1:20" x14ac:dyDescent="0.3">
      <c r="A40" s="8" t="s">
        <v>214</v>
      </c>
      <c r="B40" s="9">
        <v>46219</v>
      </c>
      <c r="C40" s="8" t="s">
        <v>303</v>
      </c>
      <c r="D40" s="8" t="s">
        <v>254</v>
      </c>
      <c r="E40" s="8" t="s">
        <v>260</v>
      </c>
      <c r="F40" s="8" t="s">
        <v>255</v>
      </c>
      <c r="G40" s="8" t="s">
        <v>172</v>
      </c>
      <c r="H40" s="8" t="s">
        <v>146</v>
      </c>
      <c r="J40">
        <v>1</v>
      </c>
      <c r="K40">
        <v>1450000</v>
      </c>
      <c r="L40" s="8" t="s">
        <v>182</v>
      </c>
      <c r="M40" s="8" t="s">
        <v>147</v>
      </c>
      <c r="N40" s="8" t="s">
        <v>148</v>
      </c>
      <c r="O40">
        <v>1450000</v>
      </c>
      <c r="P40">
        <v>980000</v>
      </c>
      <c r="Q40">
        <v>1450000</v>
      </c>
      <c r="R40">
        <v>0</v>
      </c>
      <c r="S40">
        <v>470000</v>
      </c>
      <c r="T40" t="s">
        <v>267</v>
      </c>
    </row>
    <row r="41" spans="1:20" x14ac:dyDescent="0.3">
      <c r="A41" s="8" t="s">
        <v>214</v>
      </c>
      <c r="B41" s="9">
        <v>46219</v>
      </c>
      <c r="C41" s="8" t="s">
        <v>303</v>
      </c>
      <c r="D41" s="8" t="s">
        <v>254</v>
      </c>
      <c r="E41" s="8" t="s">
        <v>260</v>
      </c>
      <c r="F41" s="8" t="s">
        <v>255</v>
      </c>
      <c r="G41" s="8" t="s">
        <v>172</v>
      </c>
      <c r="H41" s="8" t="s">
        <v>146</v>
      </c>
      <c r="J41">
        <v>1</v>
      </c>
      <c r="K41">
        <v>1450000</v>
      </c>
      <c r="L41" s="8" t="s">
        <v>182</v>
      </c>
      <c r="M41" s="8" t="s">
        <v>147</v>
      </c>
      <c r="N41" s="8" t="s">
        <v>148</v>
      </c>
      <c r="O41">
        <v>1450000</v>
      </c>
      <c r="P41">
        <v>980000</v>
      </c>
      <c r="Q41">
        <v>1450000</v>
      </c>
      <c r="R41">
        <v>0</v>
      </c>
      <c r="S41">
        <v>470000</v>
      </c>
      <c r="T41" t="s">
        <v>267</v>
      </c>
    </row>
    <row r="42" spans="1:20" x14ac:dyDescent="0.3">
      <c r="A42" s="8" t="s">
        <v>215</v>
      </c>
      <c r="B42" s="9">
        <v>46221</v>
      </c>
      <c r="C42" s="8" t="s">
        <v>303</v>
      </c>
      <c r="D42" s="8" t="s">
        <v>242</v>
      </c>
      <c r="E42" s="8" t="s">
        <v>249</v>
      </c>
      <c r="F42" s="8" t="s">
        <v>243</v>
      </c>
      <c r="G42" s="8" t="s">
        <v>241</v>
      </c>
      <c r="H42" s="8" t="s">
        <v>149</v>
      </c>
      <c r="J42">
        <v>2</v>
      </c>
      <c r="K42">
        <v>600000</v>
      </c>
      <c r="L42" s="8" t="s">
        <v>168</v>
      </c>
      <c r="M42" s="8" t="s">
        <v>150</v>
      </c>
      <c r="N42" s="8" t="s">
        <v>148</v>
      </c>
      <c r="O42">
        <v>275000</v>
      </c>
      <c r="P42">
        <v>155000</v>
      </c>
      <c r="Q42">
        <v>550000</v>
      </c>
      <c r="R42">
        <v>50000</v>
      </c>
      <c r="S42">
        <v>240000</v>
      </c>
      <c r="T42" t="s">
        <v>271</v>
      </c>
    </row>
    <row r="43" spans="1:20" x14ac:dyDescent="0.3">
      <c r="A43" s="8" t="s">
        <v>216</v>
      </c>
      <c r="B43" s="9"/>
      <c r="C43" s="8"/>
      <c r="D43" s="8" t="s">
        <v>244</v>
      </c>
      <c r="E43" s="8" t="s">
        <v>170</v>
      </c>
      <c r="F43" s="8" t="s">
        <v>171</v>
      </c>
      <c r="G43" s="8" t="s">
        <v>172</v>
      </c>
      <c r="H43" s="8" t="s">
        <v>151</v>
      </c>
      <c r="J43">
        <v>3</v>
      </c>
      <c r="K43">
        <v>195000</v>
      </c>
      <c r="L43" s="8" t="s">
        <v>173</v>
      </c>
      <c r="M43" s="8" t="s">
        <v>152</v>
      </c>
      <c r="N43" s="8" t="s">
        <v>153</v>
      </c>
      <c r="O43">
        <v>65000</v>
      </c>
      <c r="P43">
        <v>31000</v>
      </c>
      <c r="Q43">
        <v>195000</v>
      </c>
      <c r="R43">
        <v>0</v>
      </c>
      <c r="S43">
        <v>102000</v>
      </c>
      <c r="T43" t="s">
        <v>267</v>
      </c>
    </row>
    <row r="44" spans="1:20" x14ac:dyDescent="0.3">
      <c r="A44" s="8" t="s">
        <v>217</v>
      </c>
      <c r="B44" s="9"/>
      <c r="C44" s="8"/>
      <c r="D44" s="8" t="s">
        <v>245</v>
      </c>
      <c r="E44" s="8" t="s">
        <v>258</v>
      </c>
      <c r="F44" s="8" t="s">
        <v>246</v>
      </c>
      <c r="G44" s="8" t="s">
        <v>247</v>
      </c>
      <c r="H44" s="8" t="s">
        <v>154</v>
      </c>
      <c r="J44">
        <v>4</v>
      </c>
      <c r="K44">
        <v>340000</v>
      </c>
      <c r="L44" s="8" t="s">
        <v>176</v>
      </c>
      <c r="M44" s="8" t="s">
        <v>155</v>
      </c>
      <c r="N44" s="8" t="s">
        <v>153</v>
      </c>
      <c r="O44">
        <v>85000</v>
      </c>
      <c r="P44">
        <v>43000</v>
      </c>
      <c r="Q44">
        <v>340000</v>
      </c>
      <c r="R44">
        <v>0</v>
      </c>
      <c r="S44">
        <v>168000</v>
      </c>
      <c r="T44" t="s">
        <v>267</v>
      </c>
    </row>
    <row r="45" spans="1:20" x14ac:dyDescent="0.3">
      <c r="A45" s="8" t="s">
        <v>218</v>
      </c>
      <c r="B45" s="9">
        <v>46227</v>
      </c>
      <c r="C45" s="8" t="s">
        <v>303</v>
      </c>
      <c r="D45" s="8" t="s">
        <v>248</v>
      </c>
      <c r="E45" s="8" t="s">
        <v>249</v>
      </c>
      <c r="F45" s="8" t="s">
        <v>250</v>
      </c>
      <c r="G45" s="8" t="s">
        <v>172</v>
      </c>
      <c r="H45" s="8" t="s">
        <v>156</v>
      </c>
      <c r="J45">
        <v>5</v>
      </c>
      <c r="K45">
        <v>2375000</v>
      </c>
      <c r="L45" s="8" t="s">
        <v>178</v>
      </c>
      <c r="M45" s="8" t="s">
        <v>157</v>
      </c>
      <c r="N45" s="8" t="s">
        <v>140</v>
      </c>
      <c r="O45">
        <v>475000</v>
      </c>
      <c r="P45">
        <v>285000</v>
      </c>
      <c r="Q45">
        <v>2375000</v>
      </c>
      <c r="R45">
        <v>0</v>
      </c>
      <c r="S45">
        <v>950000</v>
      </c>
      <c r="T45" t="s">
        <v>267</v>
      </c>
    </row>
    <row r="46" spans="1:20" x14ac:dyDescent="0.3">
      <c r="A46" s="8" t="s">
        <v>219</v>
      </c>
      <c r="B46" s="9">
        <v>46229</v>
      </c>
      <c r="C46" s="8" t="s">
        <v>303</v>
      </c>
      <c r="D46" s="8" t="s">
        <v>251</v>
      </c>
      <c r="E46" s="8" t="s">
        <v>259</v>
      </c>
      <c r="F46" s="8" t="s">
        <v>252</v>
      </c>
      <c r="G46" s="8" t="s">
        <v>253</v>
      </c>
      <c r="H46" s="8" t="s">
        <v>175</v>
      </c>
      <c r="I46" t="s">
        <v>268</v>
      </c>
      <c r="J46">
        <v>1</v>
      </c>
      <c r="K46">
        <v>150000</v>
      </c>
      <c r="L46" s="8" t="s">
        <v>180</v>
      </c>
      <c r="M46" s="8"/>
      <c r="N46" s="8"/>
      <c r="T46" t="s">
        <v>269</v>
      </c>
    </row>
    <row r="47" spans="1:20" x14ac:dyDescent="0.3">
      <c r="A47" s="8" t="s">
        <v>220</v>
      </c>
      <c r="B47" s="9">
        <v>46029</v>
      </c>
      <c r="C47" s="8" t="s">
        <v>298</v>
      </c>
      <c r="D47" s="8" t="s">
        <v>254</v>
      </c>
      <c r="E47" s="8" t="s">
        <v>260</v>
      </c>
      <c r="F47" s="8" t="s">
        <v>255</v>
      </c>
      <c r="G47" s="8" t="s">
        <v>172</v>
      </c>
      <c r="H47" s="8" t="s">
        <v>138</v>
      </c>
      <c r="J47">
        <v>3</v>
      </c>
      <c r="K47">
        <v>1050000</v>
      </c>
      <c r="L47" s="8" t="s">
        <v>182</v>
      </c>
      <c r="M47" s="8" t="s">
        <v>139</v>
      </c>
      <c r="N47" s="8" t="s">
        <v>140</v>
      </c>
      <c r="O47">
        <v>350000</v>
      </c>
      <c r="P47">
        <v>210000</v>
      </c>
      <c r="Q47">
        <v>1050000</v>
      </c>
      <c r="R47">
        <v>0</v>
      </c>
      <c r="S47">
        <v>420000</v>
      </c>
      <c r="T47" t="s">
        <v>267</v>
      </c>
    </row>
    <row r="48" spans="1:20" x14ac:dyDescent="0.3">
      <c r="A48" s="8" t="s">
        <v>221</v>
      </c>
      <c r="B48" s="9">
        <v>46088</v>
      </c>
      <c r="C48" s="8" t="s">
        <v>299</v>
      </c>
      <c r="D48" s="8" t="s">
        <v>242</v>
      </c>
      <c r="E48" s="8" t="s">
        <v>249</v>
      </c>
      <c r="F48" s="8" t="s">
        <v>243</v>
      </c>
      <c r="G48" s="8" t="s">
        <v>241</v>
      </c>
      <c r="H48" s="8" t="s">
        <v>141</v>
      </c>
      <c r="J48">
        <v>3</v>
      </c>
      <c r="K48">
        <v>735000</v>
      </c>
      <c r="L48" s="8" t="s">
        <v>168</v>
      </c>
      <c r="M48" s="8" t="s">
        <v>142</v>
      </c>
      <c r="N48" s="8" t="s">
        <v>143</v>
      </c>
      <c r="O48">
        <v>245000</v>
      </c>
      <c r="P48">
        <v>145000</v>
      </c>
      <c r="Q48">
        <v>735000</v>
      </c>
      <c r="R48">
        <v>0</v>
      </c>
      <c r="S48">
        <v>300000</v>
      </c>
      <c r="T48" t="s">
        <v>267</v>
      </c>
    </row>
    <row r="49" spans="1:20" x14ac:dyDescent="0.3">
      <c r="A49" s="8" t="s">
        <v>222</v>
      </c>
      <c r="B49" s="9">
        <v>46208</v>
      </c>
      <c r="C49" s="8" t="s">
        <v>303</v>
      </c>
      <c r="D49" s="8" t="s">
        <v>244</v>
      </c>
      <c r="E49" s="8" t="s">
        <v>170</v>
      </c>
      <c r="F49" s="8" t="s">
        <v>171</v>
      </c>
      <c r="G49" s="8" t="s">
        <v>172</v>
      </c>
      <c r="H49" s="8" t="s">
        <v>144</v>
      </c>
      <c r="J49">
        <v>4</v>
      </c>
      <c r="K49">
        <v>1240000</v>
      </c>
      <c r="L49" s="8" t="s">
        <v>173</v>
      </c>
      <c r="M49" s="8" t="s">
        <v>145</v>
      </c>
      <c r="N49" s="8" t="s">
        <v>143</v>
      </c>
      <c r="O49">
        <v>310000</v>
      </c>
      <c r="P49">
        <v>190000</v>
      </c>
      <c r="Q49">
        <v>1240000</v>
      </c>
      <c r="R49">
        <v>0</v>
      </c>
      <c r="S49">
        <v>480000</v>
      </c>
      <c r="T49" t="s">
        <v>267</v>
      </c>
    </row>
    <row r="50" spans="1:20" x14ac:dyDescent="0.3">
      <c r="A50" s="8" t="s">
        <v>223</v>
      </c>
      <c r="B50" s="9">
        <v>46210</v>
      </c>
      <c r="C50" s="8" t="s">
        <v>303</v>
      </c>
      <c r="D50" s="8" t="s">
        <v>245</v>
      </c>
      <c r="E50" s="8" t="s">
        <v>258</v>
      </c>
      <c r="F50" s="8" t="s">
        <v>246</v>
      </c>
      <c r="G50" s="8" t="s">
        <v>247</v>
      </c>
      <c r="H50" s="8" t="s">
        <v>146</v>
      </c>
      <c r="J50">
        <v>5</v>
      </c>
      <c r="L50" s="8" t="s">
        <v>176</v>
      </c>
      <c r="M50" s="8" t="s">
        <v>147</v>
      </c>
      <c r="N50" s="8" t="s">
        <v>148</v>
      </c>
      <c r="O50">
        <v>1450000</v>
      </c>
      <c r="P50">
        <v>980000</v>
      </c>
      <c r="Q50">
        <v>7250000</v>
      </c>
      <c r="S50">
        <v>2350000</v>
      </c>
      <c r="T50" t="s">
        <v>272</v>
      </c>
    </row>
    <row r="51" spans="1:20" x14ac:dyDescent="0.3">
      <c r="A51" s="8" t="s">
        <v>224</v>
      </c>
      <c r="B51" s="9">
        <v>46272</v>
      </c>
      <c r="C51" s="8" t="s">
        <v>300</v>
      </c>
      <c r="D51" s="8" t="s">
        <v>248</v>
      </c>
      <c r="E51" s="8" t="s">
        <v>249</v>
      </c>
      <c r="F51" s="8" t="s">
        <v>250</v>
      </c>
      <c r="G51" s="8" t="s">
        <v>172</v>
      </c>
      <c r="H51" s="8" t="s">
        <v>149</v>
      </c>
      <c r="J51">
        <v>1</v>
      </c>
      <c r="K51">
        <v>275000</v>
      </c>
      <c r="L51" s="8" t="s">
        <v>178</v>
      </c>
      <c r="M51" s="8" t="s">
        <v>150</v>
      </c>
      <c r="N51" s="8" t="s">
        <v>148</v>
      </c>
      <c r="O51">
        <v>275000</v>
      </c>
      <c r="P51">
        <v>155000</v>
      </c>
      <c r="Q51">
        <v>275000</v>
      </c>
      <c r="R51">
        <v>0</v>
      </c>
      <c r="S51">
        <v>120000</v>
      </c>
      <c r="T51" t="s">
        <v>267</v>
      </c>
    </row>
    <row r="52" spans="1:20" x14ac:dyDescent="0.3">
      <c r="A52" s="8" t="s">
        <v>225</v>
      </c>
      <c r="B52" s="9">
        <v>46333</v>
      </c>
      <c r="C52" s="8" t="s">
        <v>301</v>
      </c>
      <c r="D52" s="8" t="s">
        <v>251</v>
      </c>
      <c r="E52" s="8" t="s">
        <v>259</v>
      </c>
      <c r="F52" s="8" t="s">
        <v>252</v>
      </c>
      <c r="G52" s="8" t="s">
        <v>253</v>
      </c>
      <c r="H52" s="8" t="s">
        <v>151</v>
      </c>
      <c r="J52">
        <v>2</v>
      </c>
      <c r="K52">
        <v>130000</v>
      </c>
      <c r="L52" s="8" t="s">
        <v>180</v>
      </c>
      <c r="M52" s="8" t="s">
        <v>152</v>
      </c>
      <c r="N52" s="8" t="s">
        <v>153</v>
      </c>
      <c r="O52">
        <v>65000</v>
      </c>
      <c r="P52">
        <v>31000</v>
      </c>
      <c r="Q52">
        <v>130000</v>
      </c>
      <c r="R52">
        <v>0</v>
      </c>
      <c r="S52">
        <v>68000</v>
      </c>
      <c r="T52" t="s">
        <v>267</v>
      </c>
    </row>
    <row r="53" spans="1:20" x14ac:dyDescent="0.3">
      <c r="A53" s="8" t="s">
        <v>226</v>
      </c>
      <c r="B53" s="9">
        <v>46216</v>
      </c>
      <c r="C53" s="8" t="s">
        <v>303</v>
      </c>
      <c r="D53" s="8" t="s">
        <v>254</v>
      </c>
      <c r="E53" s="8" t="s">
        <v>260</v>
      </c>
      <c r="F53" s="8" t="s">
        <v>255</v>
      </c>
      <c r="G53" s="8" t="s">
        <v>172</v>
      </c>
      <c r="H53" s="8" t="s">
        <v>154</v>
      </c>
      <c r="K53">
        <v>255000</v>
      </c>
      <c r="L53" s="8" t="s">
        <v>182</v>
      </c>
      <c r="M53" s="8" t="s">
        <v>155</v>
      </c>
      <c r="N53" s="8" t="s">
        <v>153</v>
      </c>
      <c r="O53">
        <v>85000</v>
      </c>
      <c r="P53">
        <v>43000</v>
      </c>
      <c r="T53" t="s">
        <v>270</v>
      </c>
    </row>
    <row r="54" spans="1:20" x14ac:dyDescent="0.3">
      <c r="A54" s="8" t="s">
        <v>227</v>
      </c>
      <c r="B54" s="9">
        <v>46218</v>
      </c>
      <c r="C54" s="8" t="s">
        <v>303</v>
      </c>
      <c r="D54" s="8" t="s">
        <v>242</v>
      </c>
      <c r="E54" s="8" t="s">
        <v>249</v>
      </c>
      <c r="F54" s="8" t="s">
        <v>243</v>
      </c>
      <c r="G54" s="8" t="s">
        <v>241</v>
      </c>
      <c r="H54" s="8" t="s">
        <v>156</v>
      </c>
      <c r="J54">
        <v>4</v>
      </c>
      <c r="K54">
        <v>1900000</v>
      </c>
      <c r="L54" s="8" t="s">
        <v>168</v>
      </c>
      <c r="M54" s="8" t="s">
        <v>157</v>
      </c>
      <c r="N54" s="8" t="s">
        <v>140</v>
      </c>
      <c r="O54">
        <v>475000</v>
      </c>
      <c r="P54">
        <v>285000</v>
      </c>
      <c r="Q54">
        <v>1900000</v>
      </c>
      <c r="R54">
        <v>0</v>
      </c>
      <c r="S54">
        <v>760000</v>
      </c>
      <c r="T54" t="s">
        <v>267</v>
      </c>
    </row>
    <row r="55" spans="1:20" x14ac:dyDescent="0.3">
      <c r="A55" s="8" t="s">
        <v>228</v>
      </c>
      <c r="B55" s="9"/>
      <c r="C55" s="8"/>
      <c r="D55" s="8" t="s">
        <v>244</v>
      </c>
      <c r="E55" s="8" t="s">
        <v>170</v>
      </c>
      <c r="F55" s="8" t="s">
        <v>171</v>
      </c>
      <c r="G55" s="8" t="s">
        <v>172</v>
      </c>
      <c r="H55" s="8" t="s">
        <v>175</v>
      </c>
      <c r="I55" t="s">
        <v>268</v>
      </c>
      <c r="J55">
        <v>5</v>
      </c>
      <c r="K55">
        <v>150000</v>
      </c>
      <c r="L55" s="8" t="s">
        <v>173</v>
      </c>
      <c r="M55" s="8"/>
      <c r="N55" s="8"/>
      <c r="T55" t="s">
        <v>269</v>
      </c>
    </row>
    <row r="56" spans="1:20" x14ac:dyDescent="0.3">
      <c r="A56" s="8" t="s">
        <v>229</v>
      </c>
      <c r="B56" s="9"/>
      <c r="C56" s="8"/>
      <c r="D56" s="8" t="s">
        <v>245</v>
      </c>
      <c r="E56" s="8" t="s">
        <v>258</v>
      </c>
      <c r="F56" s="8" t="s">
        <v>246</v>
      </c>
      <c r="G56" s="8" t="s">
        <v>247</v>
      </c>
      <c r="H56" s="8" t="s">
        <v>138</v>
      </c>
      <c r="J56">
        <v>1</v>
      </c>
      <c r="K56">
        <v>350000</v>
      </c>
      <c r="L56" s="8" t="s">
        <v>176</v>
      </c>
      <c r="M56" s="8" t="s">
        <v>139</v>
      </c>
      <c r="N56" s="8" t="s">
        <v>140</v>
      </c>
      <c r="O56">
        <v>350000</v>
      </c>
      <c r="P56">
        <v>210000</v>
      </c>
      <c r="Q56">
        <v>350000</v>
      </c>
      <c r="R56">
        <v>0</v>
      </c>
      <c r="S56">
        <v>140000</v>
      </c>
      <c r="T56" t="s">
        <v>267</v>
      </c>
    </row>
    <row r="57" spans="1:20" x14ac:dyDescent="0.3">
      <c r="A57" s="8" t="s">
        <v>230</v>
      </c>
      <c r="B57" s="9">
        <v>46224</v>
      </c>
      <c r="C57" s="8" t="s">
        <v>303</v>
      </c>
      <c r="D57" s="8" t="s">
        <v>248</v>
      </c>
      <c r="E57" s="8" t="s">
        <v>249</v>
      </c>
      <c r="F57" s="8" t="s">
        <v>250</v>
      </c>
      <c r="G57" s="8" t="s">
        <v>172</v>
      </c>
      <c r="H57" s="8" t="s">
        <v>141</v>
      </c>
      <c r="J57">
        <v>2</v>
      </c>
      <c r="K57">
        <v>490000</v>
      </c>
      <c r="L57" s="8" t="s">
        <v>178</v>
      </c>
      <c r="M57" s="8" t="s">
        <v>142</v>
      </c>
      <c r="N57" s="8" t="s">
        <v>143</v>
      </c>
      <c r="O57">
        <v>245000</v>
      </c>
      <c r="P57">
        <v>145000</v>
      </c>
      <c r="Q57">
        <v>490000</v>
      </c>
      <c r="R57">
        <v>0</v>
      </c>
      <c r="S57">
        <v>200000</v>
      </c>
      <c r="T57" t="s">
        <v>267</v>
      </c>
    </row>
    <row r="58" spans="1:20" x14ac:dyDescent="0.3">
      <c r="A58" s="8" t="s">
        <v>231</v>
      </c>
      <c r="B58" s="9">
        <v>46226</v>
      </c>
      <c r="C58" s="8" t="s">
        <v>303</v>
      </c>
      <c r="D58" s="8" t="s">
        <v>251</v>
      </c>
      <c r="E58" s="8" t="s">
        <v>259</v>
      </c>
      <c r="F58" s="8" t="s">
        <v>252</v>
      </c>
      <c r="G58" s="8" t="s">
        <v>253</v>
      </c>
      <c r="H58" s="8" t="s">
        <v>144</v>
      </c>
      <c r="J58">
        <v>3</v>
      </c>
      <c r="K58">
        <v>930000</v>
      </c>
      <c r="L58" s="8" t="s">
        <v>180</v>
      </c>
      <c r="M58" s="8" t="s">
        <v>145</v>
      </c>
      <c r="N58" s="8" t="s">
        <v>143</v>
      </c>
      <c r="O58">
        <v>310000</v>
      </c>
      <c r="P58">
        <v>190000</v>
      </c>
      <c r="Q58">
        <v>930000</v>
      </c>
      <c r="R58">
        <v>0</v>
      </c>
      <c r="S58">
        <v>360000</v>
      </c>
      <c r="T58" t="s">
        <v>267</v>
      </c>
    </row>
    <row r="59" spans="1:20" x14ac:dyDescent="0.3">
      <c r="A59" s="8" t="s">
        <v>232</v>
      </c>
      <c r="B59" s="9"/>
      <c r="C59" s="8"/>
      <c r="D59" s="8" t="s">
        <v>254</v>
      </c>
      <c r="E59" s="8" t="s">
        <v>260</v>
      </c>
      <c r="F59" s="8" t="s">
        <v>255</v>
      </c>
      <c r="G59" s="8" t="s">
        <v>172</v>
      </c>
      <c r="H59" s="8" t="s">
        <v>146</v>
      </c>
      <c r="J59">
        <v>4</v>
      </c>
      <c r="K59">
        <v>5850000</v>
      </c>
      <c r="L59" s="8" t="s">
        <v>182</v>
      </c>
      <c r="M59" s="8" t="s">
        <v>147</v>
      </c>
      <c r="N59" s="8" t="s">
        <v>148</v>
      </c>
      <c r="O59">
        <v>1450000</v>
      </c>
      <c r="P59">
        <v>980000</v>
      </c>
      <c r="Q59">
        <v>5800000</v>
      </c>
      <c r="R59">
        <v>50000</v>
      </c>
      <c r="S59">
        <v>1880000</v>
      </c>
      <c r="T59" t="s">
        <v>271</v>
      </c>
    </row>
    <row r="60" spans="1:20" x14ac:dyDescent="0.3">
      <c r="A60" s="8" t="s">
        <v>233</v>
      </c>
      <c r="B60" s="9"/>
      <c r="C60" s="8"/>
      <c r="D60" s="8" t="s">
        <v>242</v>
      </c>
      <c r="E60" s="8" t="s">
        <v>249</v>
      </c>
      <c r="F60" s="8" t="s">
        <v>243</v>
      </c>
      <c r="G60" s="8" t="s">
        <v>241</v>
      </c>
      <c r="H60" s="8" t="s">
        <v>149</v>
      </c>
      <c r="J60">
        <v>1</v>
      </c>
      <c r="K60">
        <v>275000</v>
      </c>
      <c r="L60" s="8" t="s">
        <v>168</v>
      </c>
      <c r="M60" s="8" t="s">
        <v>150</v>
      </c>
      <c r="N60" s="8" t="s">
        <v>148</v>
      </c>
      <c r="O60">
        <v>275000</v>
      </c>
      <c r="P60">
        <v>155000</v>
      </c>
      <c r="Q60">
        <v>275000</v>
      </c>
      <c r="R60">
        <v>0</v>
      </c>
      <c r="S60">
        <v>120000</v>
      </c>
      <c r="T60" t="s">
        <v>267</v>
      </c>
    </row>
    <row r="61" spans="1:20" x14ac:dyDescent="0.3">
      <c r="A61" s="8" t="s">
        <v>234</v>
      </c>
      <c r="B61" s="9">
        <v>46205</v>
      </c>
      <c r="C61" s="8" t="s">
        <v>303</v>
      </c>
      <c r="D61" s="8" t="s">
        <v>244</v>
      </c>
      <c r="E61" s="8" t="s">
        <v>170</v>
      </c>
      <c r="F61" s="8" t="s">
        <v>171</v>
      </c>
      <c r="G61" s="8" t="s">
        <v>172</v>
      </c>
      <c r="H61" s="8" t="s">
        <v>151</v>
      </c>
      <c r="J61">
        <v>1</v>
      </c>
      <c r="K61">
        <v>65000</v>
      </c>
      <c r="L61" s="8" t="s">
        <v>173</v>
      </c>
      <c r="M61" s="8" t="s">
        <v>152</v>
      </c>
      <c r="N61" s="8" t="s">
        <v>153</v>
      </c>
      <c r="O61">
        <v>65000</v>
      </c>
      <c r="P61">
        <v>31000</v>
      </c>
      <c r="Q61">
        <v>65000</v>
      </c>
      <c r="R61">
        <v>0</v>
      </c>
      <c r="S61">
        <v>34000</v>
      </c>
      <c r="T61" t="s">
        <v>267</v>
      </c>
    </row>
    <row r="62" spans="1:20" x14ac:dyDescent="0.3">
      <c r="A62" s="8" t="s">
        <v>235</v>
      </c>
      <c r="B62" s="9">
        <v>46207</v>
      </c>
      <c r="C62" s="8" t="s">
        <v>303</v>
      </c>
      <c r="D62" s="8" t="s">
        <v>245</v>
      </c>
      <c r="E62" s="8" t="s">
        <v>258</v>
      </c>
      <c r="F62" s="8" t="s">
        <v>246</v>
      </c>
      <c r="G62" s="8" t="s">
        <v>247</v>
      </c>
      <c r="H62" s="8" t="s">
        <v>154</v>
      </c>
      <c r="J62">
        <v>2</v>
      </c>
      <c r="K62">
        <v>170000</v>
      </c>
      <c r="L62" s="8" t="s">
        <v>176</v>
      </c>
      <c r="M62" s="8" t="s">
        <v>155</v>
      </c>
      <c r="N62" s="8" t="s">
        <v>153</v>
      </c>
      <c r="O62">
        <v>85000</v>
      </c>
      <c r="P62">
        <v>43000</v>
      </c>
      <c r="Q62">
        <v>170000</v>
      </c>
      <c r="R62">
        <v>0</v>
      </c>
      <c r="S62">
        <v>84000</v>
      </c>
      <c r="T62" t="s">
        <v>267</v>
      </c>
    </row>
    <row r="63" spans="1:20" x14ac:dyDescent="0.3">
      <c r="A63" s="8" t="s">
        <v>236</v>
      </c>
      <c r="B63" s="9">
        <v>46180</v>
      </c>
      <c r="C63" s="8" t="s">
        <v>296</v>
      </c>
      <c r="D63" s="8" t="s">
        <v>248</v>
      </c>
      <c r="E63" s="8" t="s">
        <v>249</v>
      </c>
      <c r="F63" s="8" t="s">
        <v>250</v>
      </c>
      <c r="G63" s="8" t="s">
        <v>172</v>
      </c>
      <c r="H63" s="8" t="s">
        <v>156</v>
      </c>
      <c r="J63">
        <v>3</v>
      </c>
      <c r="K63">
        <v>1425000</v>
      </c>
      <c r="L63" s="8" t="s">
        <v>178</v>
      </c>
      <c r="M63" s="8" t="s">
        <v>157</v>
      </c>
      <c r="N63" s="8" t="s">
        <v>140</v>
      </c>
      <c r="O63">
        <v>475000</v>
      </c>
      <c r="P63">
        <v>285000</v>
      </c>
      <c r="Q63">
        <v>1425000</v>
      </c>
      <c r="R63">
        <v>0</v>
      </c>
      <c r="S63">
        <v>570000</v>
      </c>
      <c r="T63" t="s">
        <v>267</v>
      </c>
    </row>
    <row r="64" spans="1:20" x14ac:dyDescent="0.3">
      <c r="A64" s="8" t="s">
        <v>237</v>
      </c>
      <c r="B64" s="9">
        <v>46241</v>
      </c>
      <c r="C64" s="8" t="s">
        <v>302</v>
      </c>
      <c r="D64" s="8" t="s">
        <v>251</v>
      </c>
      <c r="E64" s="8" t="s">
        <v>259</v>
      </c>
      <c r="F64" s="8" t="s">
        <v>252</v>
      </c>
      <c r="G64" s="8" t="s">
        <v>253</v>
      </c>
      <c r="H64" s="8" t="s">
        <v>175</v>
      </c>
      <c r="I64" t="s">
        <v>268</v>
      </c>
      <c r="J64">
        <v>4</v>
      </c>
      <c r="K64">
        <v>150000</v>
      </c>
      <c r="L64" s="8" t="s">
        <v>180</v>
      </c>
      <c r="M64" s="8"/>
      <c r="N64" s="8"/>
      <c r="T64" t="s">
        <v>269</v>
      </c>
    </row>
    <row r="65" spans="1:20" x14ac:dyDescent="0.3">
      <c r="A65" s="8" t="s">
        <v>238</v>
      </c>
      <c r="B65" s="9">
        <v>46213</v>
      </c>
      <c r="C65" s="8" t="s">
        <v>303</v>
      </c>
      <c r="D65" s="8" t="s">
        <v>254</v>
      </c>
      <c r="E65" s="8" t="s">
        <v>260</v>
      </c>
      <c r="F65" s="8" t="s">
        <v>255</v>
      </c>
      <c r="G65" s="8" t="s">
        <v>172</v>
      </c>
      <c r="H65" s="8" t="s">
        <v>138</v>
      </c>
      <c r="J65">
        <v>5</v>
      </c>
      <c r="K65">
        <v>1750000</v>
      </c>
      <c r="L65" s="8" t="s">
        <v>182</v>
      </c>
      <c r="M65" s="8" t="s">
        <v>139</v>
      </c>
      <c r="N65" s="8" t="s">
        <v>140</v>
      </c>
      <c r="O65">
        <v>350000</v>
      </c>
      <c r="P65">
        <v>210000</v>
      </c>
      <c r="Q65">
        <v>1750000</v>
      </c>
      <c r="R65">
        <v>0</v>
      </c>
      <c r="S65">
        <v>700000</v>
      </c>
      <c r="T65" t="s">
        <v>267</v>
      </c>
    </row>
    <row r="66" spans="1:20" x14ac:dyDescent="0.3">
      <c r="A66" s="8" t="s">
        <v>239</v>
      </c>
      <c r="B66" s="9"/>
      <c r="C66" s="8"/>
      <c r="D66" s="8" t="s">
        <v>242</v>
      </c>
      <c r="E66" s="8" t="s">
        <v>249</v>
      </c>
      <c r="F66" s="8" t="s">
        <v>243</v>
      </c>
      <c r="G66" s="8" t="s">
        <v>241</v>
      </c>
      <c r="H66" s="8" t="s">
        <v>141</v>
      </c>
      <c r="J66">
        <v>1</v>
      </c>
      <c r="K66">
        <v>245000</v>
      </c>
      <c r="L66" s="8" t="s">
        <v>168</v>
      </c>
      <c r="M66" s="8" t="s">
        <v>142</v>
      </c>
      <c r="N66" s="8" t="s">
        <v>143</v>
      </c>
      <c r="O66">
        <v>245000</v>
      </c>
      <c r="P66">
        <v>145000</v>
      </c>
      <c r="Q66">
        <v>245000</v>
      </c>
      <c r="R66">
        <v>0</v>
      </c>
      <c r="S66">
        <v>100000</v>
      </c>
      <c r="T66" t="s">
        <v>267</v>
      </c>
    </row>
    <row r="67" spans="1:20" x14ac:dyDescent="0.3">
      <c r="A67" s="8" t="s">
        <v>240</v>
      </c>
      <c r="B67" s="9"/>
      <c r="C67" s="8"/>
      <c r="D67" s="8" t="s">
        <v>244</v>
      </c>
      <c r="E67" s="8" t="s">
        <v>170</v>
      </c>
      <c r="F67" s="8" t="s">
        <v>171</v>
      </c>
      <c r="G67" s="8" t="s">
        <v>172</v>
      </c>
      <c r="H67" s="8" t="s">
        <v>144</v>
      </c>
      <c r="J67">
        <v>2</v>
      </c>
      <c r="K67">
        <v>620000</v>
      </c>
      <c r="L67" s="8" t="s">
        <v>173</v>
      </c>
      <c r="M67" s="8" t="s">
        <v>145</v>
      </c>
      <c r="N67" s="8" t="s">
        <v>143</v>
      </c>
      <c r="O67">
        <v>310000</v>
      </c>
      <c r="P67">
        <v>190000</v>
      </c>
      <c r="Q67">
        <v>620000</v>
      </c>
      <c r="R67">
        <v>0</v>
      </c>
      <c r="S67">
        <v>240000</v>
      </c>
      <c r="T67" t="s">
        <v>267</v>
      </c>
    </row>
  </sheetData>
  <phoneticPr fontId="6"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06134-502C-4817-8BFA-4CD78AEC8B1B}">
  <dimension ref="A1:E5"/>
  <sheetViews>
    <sheetView workbookViewId="0"/>
  </sheetViews>
  <sheetFormatPr defaultRowHeight="14.4" x14ac:dyDescent="0.3"/>
  <cols>
    <col min="1" max="1" width="25.21875" bestFit="1" customWidth="1"/>
    <col min="2" max="2" width="13.44140625" bestFit="1" customWidth="1"/>
    <col min="3" max="3" width="15.33203125" bestFit="1" customWidth="1"/>
    <col min="4" max="4" width="12.5546875" bestFit="1" customWidth="1"/>
    <col min="5" max="5" width="12" bestFit="1" customWidth="1"/>
  </cols>
  <sheetData>
    <row r="1" spans="1:5" x14ac:dyDescent="0.3">
      <c r="A1" t="s">
        <v>262</v>
      </c>
      <c r="B1" t="s">
        <v>273</v>
      </c>
      <c r="C1" t="s">
        <v>274</v>
      </c>
      <c r="D1" t="s">
        <v>275</v>
      </c>
      <c r="E1" t="s">
        <v>106</v>
      </c>
    </row>
    <row r="2" spans="1:5" x14ac:dyDescent="0.3">
      <c r="A2" s="8" t="s">
        <v>153</v>
      </c>
      <c r="B2">
        <v>11</v>
      </c>
      <c r="C2">
        <v>2395000</v>
      </c>
      <c r="D2">
        <v>1206000</v>
      </c>
      <c r="E2">
        <v>0.50354906054279747</v>
      </c>
    </row>
    <row r="3" spans="1:5" x14ac:dyDescent="0.3">
      <c r="A3" s="8" t="s">
        <v>140</v>
      </c>
      <c r="B3">
        <v>16</v>
      </c>
      <c r="C3">
        <v>19575000</v>
      </c>
      <c r="D3">
        <v>7830000</v>
      </c>
      <c r="E3">
        <v>0.4</v>
      </c>
    </row>
    <row r="4" spans="1:5" x14ac:dyDescent="0.3">
      <c r="A4" s="8" t="s">
        <v>143</v>
      </c>
      <c r="B4">
        <v>12</v>
      </c>
      <c r="C4">
        <v>8065000</v>
      </c>
      <c r="D4">
        <v>3220000</v>
      </c>
      <c r="E4">
        <v>0.39925604463732178</v>
      </c>
    </row>
    <row r="5" spans="1:5" x14ac:dyDescent="0.3">
      <c r="A5" s="8" t="s">
        <v>148</v>
      </c>
      <c r="B5">
        <v>9</v>
      </c>
      <c r="C5">
        <v>8000000</v>
      </c>
      <c r="D5">
        <v>2840000</v>
      </c>
      <c r="E5">
        <v>0.35499999999999998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B8CBB-9718-4980-AC80-8F8EF5956DA8}">
  <dimension ref="A1:S19"/>
  <sheetViews>
    <sheetView workbookViewId="0"/>
  </sheetViews>
  <sheetFormatPr defaultRowHeight="14.4" x14ac:dyDescent="0.3"/>
  <cols>
    <col min="1" max="1" width="10.21875" bestFit="1" customWidth="1"/>
    <col min="2" max="2" width="12.33203125" bestFit="1" customWidth="1"/>
    <col min="3" max="3" width="16.88671875" bestFit="1" customWidth="1"/>
    <col min="4" max="4" width="9" bestFit="1" customWidth="1"/>
    <col min="5" max="5" width="11.6640625" bestFit="1" customWidth="1"/>
    <col min="6" max="6" width="15" bestFit="1" customWidth="1"/>
    <col min="7" max="7" width="12.109375" bestFit="1" customWidth="1"/>
    <col min="8" max="8" width="17.77734375" bestFit="1" customWidth="1"/>
    <col min="9" max="10" width="10.5546875" bestFit="1" customWidth="1"/>
    <col min="11" max="11" width="11.109375" bestFit="1" customWidth="1"/>
    <col min="12" max="12" width="29.88671875" bestFit="1" customWidth="1"/>
    <col min="13" max="13" width="25.21875" bestFit="1" customWidth="1"/>
    <col min="14" max="14" width="30" bestFit="1" customWidth="1"/>
    <col min="15" max="15" width="25.33203125" bestFit="1" customWidth="1"/>
    <col min="16" max="16" width="18.77734375" bestFit="1" customWidth="1"/>
    <col min="17" max="17" width="19.88671875" bestFit="1" customWidth="1"/>
    <col min="18" max="18" width="8" bestFit="1" customWidth="1"/>
    <col min="19" max="19" width="14.44140625" bestFit="1" customWidth="1"/>
  </cols>
  <sheetData>
    <row r="1" spans="1:19" x14ac:dyDescent="0.3">
      <c r="A1" t="s">
        <v>158</v>
      </c>
      <c r="B1" t="s">
        <v>159</v>
      </c>
      <c r="C1" t="s">
        <v>160</v>
      </c>
      <c r="D1" t="s">
        <v>161</v>
      </c>
      <c r="E1" t="s">
        <v>162</v>
      </c>
      <c r="F1" t="s">
        <v>163</v>
      </c>
      <c r="G1" t="s">
        <v>133</v>
      </c>
      <c r="H1" t="s">
        <v>265</v>
      </c>
      <c r="I1" t="s">
        <v>164</v>
      </c>
      <c r="J1" t="s">
        <v>165</v>
      </c>
      <c r="K1" t="s">
        <v>166</v>
      </c>
      <c r="L1" t="s">
        <v>261</v>
      </c>
      <c r="M1" t="s">
        <v>262</v>
      </c>
      <c r="N1" t="s">
        <v>263</v>
      </c>
      <c r="O1" t="s">
        <v>264</v>
      </c>
      <c r="P1" t="s">
        <v>91</v>
      </c>
      <c r="Q1" t="s">
        <v>94</v>
      </c>
      <c r="R1" t="s">
        <v>97</v>
      </c>
      <c r="S1" t="s">
        <v>266</v>
      </c>
    </row>
    <row r="2" spans="1:19" x14ac:dyDescent="0.3">
      <c r="A2" s="8" t="s">
        <v>174</v>
      </c>
      <c r="B2" s="9">
        <v>46183</v>
      </c>
      <c r="C2" s="8" t="s">
        <v>245</v>
      </c>
      <c r="D2" s="8" t="s">
        <v>258</v>
      </c>
      <c r="E2" s="8" t="s">
        <v>246</v>
      </c>
      <c r="F2" s="8" t="s">
        <v>247</v>
      </c>
      <c r="G2" s="8" t="s">
        <v>175</v>
      </c>
      <c r="H2" t="s">
        <v>268</v>
      </c>
      <c r="I2">
        <v>3</v>
      </c>
      <c r="J2">
        <v>150000</v>
      </c>
      <c r="K2" s="8" t="s">
        <v>176</v>
      </c>
      <c r="L2" s="8"/>
      <c r="M2" s="8"/>
      <c r="S2" t="s">
        <v>269</v>
      </c>
    </row>
    <row r="3" spans="1:19" x14ac:dyDescent="0.3">
      <c r="A3" s="8" t="s">
        <v>179</v>
      </c>
      <c r="B3" s="9"/>
      <c r="C3" s="8" t="s">
        <v>251</v>
      </c>
      <c r="D3" s="8" t="s">
        <v>259</v>
      </c>
      <c r="E3" s="8" t="s">
        <v>252</v>
      </c>
      <c r="F3" s="8" t="s">
        <v>253</v>
      </c>
      <c r="G3" s="8" t="s">
        <v>141</v>
      </c>
      <c r="J3">
        <v>1225000</v>
      </c>
      <c r="K3" s="8" t="s">
        <v>180</v>
      </c>
      <c r="L3" s="8" t="s">
        <v>142</v>
      </c>
      <c r="M3" s="8" t="s">
        <v>143</v>
      </c>
      <c r="N3">
        <v>245000</v>
      </c>
      <c r="O3">
        <v>145000</v>
      </c>
      <c r="S3" t="s">
        <v>270</v>
      </c>
    </row>
    <row r="4" spans="1:19" x14ac:dyDescent="0.3">
      <c r="A4" s="8" t="s">
        <v>183</v>
      </c>
      <c r="B4" s="9">
        <v>46191</v>
      </c>
      <c r="C4" s="8" t="s">
        <v>242</v>
      </c>
      <c r="D4" s="8" t="s">
        <v>249</v>
      </c>
      <c r="E4" s="8" t="s">
        <v>243</v>
      </c>
      <c r="F4" s="8" t="s">
        <v>241</v>
      </c>
      <c r="G4" s="8" t="s">
        <v>146</v>
      </c>
      <c r="I4">
        <v>2</v>
      </c>
      <c r="J4">
        <v>2950000</v>
      </c>
      <c r="K4" s="8" t="s">
        <v>168</v>
      </c>
      <c r="L4" s="8" t="s">
        <v>147</v>
      </c>
      <c r="M4" s="8" t="s">
        <v>148</v>
      </c>
      <c r="N4">
        <v>1450000</v>
      </c>
      <c r="O4">
        <v>980000</v>
      </c>
      <c r="P4">
        <v>2900000</v>
      </c>
      <c r="Q4">
        <v>50000</v>
      </c>
      <c r="R4">
        <v>940000</v>
      </c>
      <c r="S4" t="s">
        <v>271</v>
      </c>
    </row>
    <row r="5" spans="1:19" x14ac:dyDescent="0.3">
      <c r="A5" s="8" t="s">
        <v>188</v>
      </c>
      <c r="B5" s="9">
        <v>46028</v>
      </c>
      <c r="C5" s="8" t="s">
        <v>254</v>
      </c>
      <c r="D5" s="8" t="s">
        <v>260</v>
      </c>
      <c r="E5" s="8" t="s">
        <v>255</v>
      </c>
      <c r="F5" s="8" t="s">
        <v>172</v>
      </c>
      <c r="G5" s="8" t="s">
        <v>175</v>
      </c>
      <c r="H5" t="s">
        <v>268</v>
      </c>
      <c r="I5">
        <v>3</v>
      </c>
      <c r="J5">
        <v>150000</v>
      </c>
      <c r="K5" s="8" t="s">
        <v>182</v>
      </c>
      <c r="L5" s="8"/>
      <c r="M5" s="8"/>
      <c r="S5" t="s">
        <v>269</v>
      </c>
    </row>
    <row r="6" spans="1:19" x14ac:dyDescent="0.3">
      <c r="A6" s="8" t="s">
        <v>191</v>
      </c>
      <c r="B6" s="9">
        <v>46180</v>
      </c>
      <c r="C6" s="8" t="s">
        <v>245</v>
      </c>
      <c r="D6" s="8" t="s">
        <v>258</v>
      </c>
      <c r="E6" s="8" t="s">
        <v>246</v>
      </c>
      <c r="F6" s="8" t="s">
        <v>247</v>
      </c>
      <c r="G6" s="8" t="s">
        <v>144</v>
      </c>
      <c r="I6">
        <v>5</v>
      </c>
      <c r="K6" s="8" t="s">
        <v>176</v>
      </c>
      <c r="L6" s="8" t="s">
        <v>145</v>
      </c>
      <c r="M6" s="8" t="s">
        <v>143</v>
      </c>
      <c r="N6">
        <v>310000</v>
      </c>
      <c r="O6">
        <v>190000</v>
      </c>
      <c r="P6">
        <v>1550000</v>
      </c>
      <c r="R6">
        <v>600000</v>
      </c>
      <c r="S6" t="s">
        <v>272</v>
      </c>
    </row>
    <row r="7" spans="1:19" x14ac:dyDescent="0.3">
      <c r="A7" s="8" t="s">
        <v>194</v>
      </c>
      <c r="B7" s="9">
        <v>46186</v>
      </c>
      <c r="C7" s="8" t="s">
        <v>254</v>
      </c>
      <c r="D7" s="8" t="s">
        <v>260</v>
      </c>
      <c r="E7" s="8" t="s">
        <v>255</v>
      </c>
      <c r="F7" s="8" t="s">
        <v>172</v>
      </c>
      <c r="G7" s="8" t="s">
        <v>151</v>
      </c>
      <c r="J7">
        <v>195000</v>
      </c>
      <c r="K7" s="8" t="s">
        <v>182</v>
      </c>
      <c r="L7" s="8" t="s">
        <v>152</v>
      </c>
      <c r="M7" s="8" t="s">
        <v>153</v>
      </c>
      <c r="N7">
        <v>65000</v>
      </c>
      <c r="O7">
        <v>31000</v>
      </c>
      <c r="S7" t="s">
        <v>270</v>
      </c>
    </row>
    <row r="8" spans="1:19" x14ac:dyDescent="0.3">
      <c r="A8" s="8" t="s">
        <v>197</v>
      </c>
      <c r="B8" s="9"/>
      <c r="C8" s="8" t="s">
        <v>245</v>
      </c>
      <c r="D8" s="8" t="s">
        <v>258</v>
      </c>
      <c r="E8" s="8" t="s">
        <v>246</v>
      </c>
      <c r="F8" s="8" t="s">
        <v>247</v>
      </c>
      <c r="G8" s="8" t="s">
        <v>175</v>
      </c>
      <c r="H8" t="s">
        <v>268</v>
      </c>
      <c r="I8">
        <v>1</v>
      </c>
      <c r="J8">
        <v>150000</v>
      </c>
      <c r="K8" s="8" t="s">
        <v>176</v>
      </c>
      <c r="L8" s="8"/>
      <c r="M8" s="8"/>
      <c r="S8" t="s">
        <v>269</v>
      </c>
    </row>
    <row r="9" spans="1:19" x14ac:dyDescent="0.3">
      <c r="A9" s="8" t="s">
        <v>200</v>
      </c>
      <c r="B9" s="9"/>
      <c r="C9" s="8" t="s">
        <v>254</v>
      </c>
      <c r="D9" s="8" t="s">
        <v>260</v>
      </c>
      <c r="E9" s="8" t="s">
        <v>255</v>
      </c>
      <c r="F9" s="8" t="s">
        <v>172</v>
      </c>
      <c r="G9" s="8" t="s">
        <v>144</v>
      </c>
      <c r="I9">
        <v>4</v>
      </c>
      <c r="J9">
        <v>1290000</v>
      </c>
      <c r="K9" s="8" t="s">
        <v>182</v>
      </c>
      <c r="L9" s="8" t="s">
        <v>145</v>
      </c>
      <c r="M9" s="8" t="s">
        <v>143</v>
      </c>
      <c r="N9">
        <v>310000</v>
      </c>
      <c r="O9">
        <v>190000</v>
      </c>
      <c r="P9">
        <v>1240000</v>
      </c>
      <c r="Q9">
        <v>50000</v>
      </c>
      <c r="R9">
        <v>480000</v>
      </c>
      <c r="S9" t="s">
        <v>271</v>
      </c>
    </row>
    <row r="10" spans="1:19" x14ac:dyDescent="0.3">
      <c r="A10" s="8" t="s">
        <v>206</v>
      </c>
      <c r="B10" s="9">
        <v>46183</v>
      </c>
      <c r="C10" s="8" t="s">
        <v>254</v>
      </c>
      <c r="D10" s="8" t="s">
        <v>260</v>
      </c>
      <c r="E10" s="8" t="s">
        <v>255</v>
      </c>
      <c r="F10" s="8" t="s">
        <v>172</v>
      </c>
      <c r="G10" s="8" t="s">
        <v>175</v>
      </c>
      <c r="H10" t="s">
        <v>268</v>
      </c>
      <c r="I10">
        <v>5</v>
      </c>
      <c r="J10">
        <v>150000</v>
      </c>
      <c r="K10" s="8" t="s">
        <v>182</v>
      </c>
      <c r="L10" s="8"/>
      <c r="M10" s="8"/>
      <c r="S10" t="s">
        <v>269</v>
      </c>
    </row>
    <row r="11" spans="1:19" x14ac:dyDescent="0.3">
      <c r="A11" s="8" t="s">
        <v>210</v>
      </c>
      <c r="B11" s="9">
        <v>46211</v>
      </c>
      <c r="C11" s="8" t="s">
        <v>244</v>
      </c>
      <c r="D11" s="8" t="s">
        <v>170</v>
      </c>
      <c r="E11" s="8" t="s">
        <v>171</v>
      </c>
      <c r="F11" s="8" t="s">
        <v>172</v>
      </c>
      <c r="G11" s="8" t="s">
        <v>175</v>
      </c>
      <c r="H11" t="s">
        <v>268</v>
      </c>
      <c r="I11">
        <v>2</v>
      </c>
      <c r="J11">
        <v>150000</v>
      </c>
      <c r="K11" s="8" t="s">
        <v>173</v>
      </c>
      <c r="L11" s="8"/>
      <c r="M11" s="8"/>
      <c r="S11" t="s">
        <v>269</v>
      </c>
    </row>
    <row r="12" spans="1:19" x14ac:dyDescent="0.3">
      <c r="A12" s="8" t="s">
        <v>213</v>
      </c>
      <c r="B12" s="9"/>
      <c r="C12" s="8" t="s">
        <v>251</v>
      </c>
      <c r="D12" s="8" t="s">
        <v>259</v>
      </c>
      <c r="E12" s="8" t="s">
        <v>252</v>
      </c>
      <c r="F12" s="8" t="s">
        <v>253</v>
      </c>
      <c r="G12" s="8" t="s">
        <v>144</v>
      </c>
      <c r="J12">
        <v>1550000</v>
      </c>
      <c r="K12" s="8" t="s">
        <v>180</v>
      </c>
      <c r="L12" s="8" t="s">
        <v>145</v>
      </c>
      <c r="M12" s="8" t="s">
        <v>143</v>
      </c>
      <c r="N12">
        <v>310000</v>
      </c>
      <c r="O12">
        <v>190000</v>
      </c>
      <c r="S12" t="s">
        <v>270</v>
      </c>
    </row>
    <row r="13" spans="1:19" x14ac:dyDescent="0.3">
      <c r="A13" s="8" t="s">
        <v>215</v>
      </c>
      <c r="B13" s="9">
        <v>46221</v>
      </c>
      <c r="C13" s="8" t="s">
        <v>242</v>
      </c>
      <c r="D13" s="8" t="s">
        <v>249</v>
      </c>
      <c r="E13" s="8" t="s">
        <v>243</v>
      </c>
      <c r="F13" s="8" t="s">
        <v>241</v>
      </c>
      <c r="G13" s="8" t="s">
        <v>149</v>
      </c>
      <c r="I13">
        <v>2</v>
      </c>
      <c r="J13">
        <v>600000</v>
      </c>
      <c r="K13" s="8" t="s">
        <v>168</v>
      </c>
      <c r="L13" s="8" t="s">
        <v>150</v>
      </c>
      <c r="M13" s="8" t="s">
        <v>148</v>
      </c>
      <c r="N13">
        <v>275000</v>
      </c>
      <c r="O13">
        <v>155000</v>
      </c>
      <c r="P13">
        <v>550000</v>
      </c>
      <c r="Q13">
        <v>50000</v>
      </c>
      <c r="R13">
        <v>240000</v>
      </c>
      <c r="S13" t="s">
        <v>271</v>
      </c>
    </row>
    <row r="14" spans="1:19" x14ac:dyDescent="0.3">
      <c r="A14" s="8" t="s">
        <v>219</v>
      </c>
      <c r="B14" s="9">
        <v>46229</v>
      </c>
      <c r="C14" s="8" t="s">
        <v>251</v>
      </c>
      <c r="D14" s="8" t="s">
        <v>259</v>
      </c>
      <c r="E14" s="8" t="s">
        <v>252</v>
      </c>
      <c r="F14" s="8" t="s">
        <v>253</v>
      </c>
      <c r="G14" s="8" t="s">
        <v>175</v>
      </c>
      <c r="H14" t="s">
        <v>268</v>
      </c>
      <c r="I14">
        <v>1</v>
      </c>
      <c r="J14">
        <v>150000</v>
      </c>
      <c r="K14" s="8" t="s">
        <v>180</v>
      </c>
      <c r="L14" s="8"/>
      <c r="M14" s="8"/>
      <c r="S14" t="s">
        <v>269</v>
      </c>
    </row>
    <row r="15" spans="1:19" x14ac:dyDescent="0.3">
      <c r="A15" s="8" t="s">
        <v>223</v>
      </c>
      <c r="B15" s="9">
        <v>46210</v>
      </c>
      <c r="C15" s="8" t="s">
        <v>245</v>
      </c>
      <c r="D15" s="8" t="s">
        <v>258</v>
      </c>
      <c r="E15" s="8" t="s">
        <v>246</v>
      </c>
      <c r="F15" s="8" t="s">
        <v>247</v>
      </c>
      <c r="G15" s="8" t="s">
        <v>146</v>
      </c>
      <c r="I15">
        <v>5</v>
      </c>
      <c r="K15" s="8" t="s">
        <v>176</v>
      </c>
      <c r="L15" s="8" t="s">
        <v>147</v>
      </c>
      <c r="M15" s="8" t="s">
        <v>148</v>
      </c>
      <c r="N15">
        <v>1450000</v>
      </c>
      <c r="O15">
        <v>980000</v>
      </c>
      <c r="P15">
        <v>7250000</v>
      </c>
      <c r="R15">
        <v>2350000</v>
      </c>
      <c r="S15" t="s">
        <v>272</v>
      </c>
    </row>
    <row r="16" spans="1:19" x14ac:dyDescent="0.3">
      <c r="A16" s="8" t="s">
        <v>226</v>
      </c>
      <c r="B16" s="9">
        <v>46216</v>
      </c>
      <c r="C16" s="8" t="s">
        <v>254</v>
      </c>
      <c r="D16" s="8" t="s">
        <v>260</v>
      </c>
      <c r="E16" s="8" t="s">
        <v>255</v>
      </c>
      <c r="F16" s="8" t="s">
        <v>172</v>
      </c>
      <c r="G16" s="8" t="s">
        <v>154</v>
      </c>
      <c r="J16">
        <v>255000</v>
      </c>
      <c r="K16" s="8" t="s">
        <v>182</v>
      </c>
      <c r="L16" s="8" t="s">
        <v>155</v>
      </c>
      <c r="M16" s="8" t="s">
        <v>153</v>
      </c>
      <c r="N16">
        <v>85000</v>
      </c>
      <c r="O16">
        <v>43000</v>
      </c>
      <c r="S16" t="s">
        <v>270</v>
      </c>
    </row>
    <row r="17" spans="1:19" x14ac:dyDescent="0.3">
      <c r="A17" s="8" t="s">
        <v>228</v>
      </c>
      <c r="B17" s="9"/>
      <c r="C17" s="8" t="s">
        <v>244</v>
      </c>
      <c r="D17" s="8" t="s">
        <v>170</v>
      </c>
      <c r="E17" s="8" t="s">
        <v>171</v>
      </c>
      <c r="F17" s="8" t="s">
        <v>172</v>
      </c>
      <c r="G17" s="8" t="s">
        <v>175</v>
      </c>
      <c r="H17" t="s">
        <v>268</v>
      </c>
      <c r="I17">
        <v>5</v>
      </c>
      <c r="J17">
        <v>150000</v>
      </c>
      <c r="K17" s="8" t="s">
        <v>173</v>
      </c>
      <c r="L17" s="8"/>
      <c r="M17" s="8"/>
      <c r="S17" t="s">
        <v>269</v>
      </c>
    </row>
    <row r="18" spans="1:19" x14ac:dyDescent="0.3">
      <c r="A18" s="8" t="s">
        <v>232</v>
      </c>
      <c r="B18" s="9"/>
      <c r="C18" s="8" t="s">
        <v>254</v>
      </c>
      <c r="D18" s="8" t="s">
        <v>260</v>
      </c>
      <c r="E18" s="8" t="s">
        <v>255</v>
      </c>
      <c r="F18" s="8" t="s">
        <v>172</v>
      </c>
      <c r="G18" s="8" t="s">
        <v>146</v>
      </c>
      <c r="I18">
        <v>4</v>
      </c>
      <c r="J18">
        <v>5850000</v>
      </c>
      <c r="K18" s="8" t="s">
        <v>182</v>
      </c>
      <c r="L18" s="8" t="s">
        <v>147</v>
      </c>
      <c r="M18" s="8" t="s">
        <v>148</v>
      </c>
      <c r="N18">
        <v>1450000</v>
      </c>
      <c r="O18">
        <v>980000</v>
      </c>
      <c r="P18">
        <v>5800000</v>
      </c>
      <c r="Q18">
        <v>50000</v>
      </c>
      <c r="R18">
        <v>1880000</v>
      </c>
      <c r="S18" t="s">
        <v>271</v>
      </c>
    </row>
    <row r="19" spans="1:19" x14ac:dyDescent="0.3">
      <c r="A19" s="8" t="s">
        <v>237</v>
      </c>
      <c r="B19" s="9">
        <v>46241</v>
      </c>
      <c r="C19" s="8" t="s">
        <v>251</v>
      </c>
      <c r="D19" s="8" t="s">
        <v>259</v>
      </c>
      <c r="E19" s="8" t="s">
        <v>252</v>
      </c>
      <c r="F19" s="8" t="s">
        <v>253</v>
      </c>
      <c r="G19" s="8" t="s">
        <v>175</v>
      </c>
      <c r="H19" t="s">
        <v>268</v>
      </c>
      <c r="I19">
        <v>4</v>
      </c>
      <c r="J19">
        <v>150000</v>
      </c>
      <c r="K19" s="8" t="s">
        <v>180</v>
      </c>
      <c r="L19" s="8"/>
      <c r="M19" s="8"/>
      <c r="S19" t="s">
        <v>269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showGridLines="0" workbookViewId="0">
      <selection sqref="A1:H1"/>
    </sheetView>
  </sheetViews>
  <sheetFormatPr defaultColWidth="8.77734375" defaultRowHeight="14.4" x14ac:dyDescent="0.3"/>
  <cols>
    <col min="1" max="1" width="22" customWidth="1"/>
    <col min="2" max="2" width="90" customWidth="1"/>
  </cols>
  <sheetData>
    <row r="1" spans="1:8" ht="30" customHeight="1" x14ac:dyDescent="0.3">
      <c r="A1" s="7" t="s">
        <v>0</v>
      </c>
      <c r="B1" s="6"/>
      <c r="C1" s="6"/>
      <c r="D1" s="6"/>
      <c r="E1" s="6"/>
      <c r="F1" s="6"/>
      <c r="G1" s="6"/>
      <c r="H1" s="6"/>
    </row>
    <row r="2" spans="1:8" ht="30" customHeight="1" x14ac:dyDescent="0.3">
      <c r="A2" s="5" t="s">
        <v>1</v>
      </c>
      <c r="B2" s="6"/>
      <c r="C2" s="6"/>
      <c r="D2" s="6"/>
      <c r="E2" s="6"/>
      <c r="F2" s="6"/>
      <c r="G2" s="6"/>
      <c r="H2" s="6"/>
    </row>
    <row r="4" spans="1:8" x14ac:dyDescent="0.3">
      <c r="A4" s="1" t="s">
        <v>2</v>
      </c>
      <c r="B4" s="1" t="s">
        <v>3</v>
      </c>
    </row>
    <row r="5" spans="1:8" x14ac:dyDescent="0.3">
      <c r="A5" s="2" t="s">
        <v>4</v>
      </c>
      <c r="B5" s="2" t="s">
        <v>5</v>
      </c>
    </row>
    <row r="6" spans="1:8" x14ac:dyDescent="0.3">
      <c r="A6" s="2" t="s">
        <v>6</v>
      </c>
      <c r="B6" s="2" t="s">
        <v>7</v>
      </c>
    </row>
    <row r="7" spans="1:8" x14ac:dyDescent="0.3">
      <c r="A7" s="2" t="s">
        <v>8</v>
      </c>
      <c r="B7" s="2" t="s">
        <v>9</v>
      </c>
    </row>
    <row r="8" spans="1:8" x14ac:dyDescent="0.3">
      <c r="A8" s="2" t="s">
        <v>10</v>
      </c>
      <c r="B8" s="3" t="s">
        <v>11</v>
      </c>
    </row>
    <row r="9" spans="1:8" ht="28.8" x14ac:dyDescent="0.3">
      <c r="A9" s="2" t="s">
        <v>12</v>
      </c>
      <c r="B9" s="3" t="s">
        <v>13</v>
      </c>
    </row>
    <row r="12" spans="1:8" x14ac:dyDescent="0.3">
      <c r="A12" s="4" t="s">
        <v>14</v>
      </c>
    </row>
    <row r="13" spans="1:8" x14ac:dyDescent="0.3">
      <c r="A13" s="1" t="s">
        <v>15</v>
      </c>
      <c r="B13" s="1" t="s">
        <v>16</v>
      </c>
    </row>
    <row r="14" spans="1:8" x14ac:dyDescent="0.3">
      <c r="A14" s="2" t="s">
        <v>17</v>
      </c>
      <c r="B14" s="2" t="s">
        <v>18</v>
      </c>
    </row>
    <row r="15" spans="1:8" x14ac:dyDescent="0.3">
      <c r="A15" s="2" t="s">
        <v>19</v>
      </c>
      <c r="B15" s="3" t="s">
        <v>20</v>
      </c>
    </row>
    <row r="16" spans="1:8" x14ac:dyDescent="0.3">
      <c r="A16" s="2" t="s">
        <v>21</v>
      </c>
      <c r="B16" s="2" t="s">
        <v>22</v>
      </c>
    </row>
    <row r="20" spans="1:2" x14ac:dyDescent="0.3">
      <c r="A20" s="4" t="s">
        <v>23</v>
      </c>
    </row>
    <row r="21" spans="1:2" x14ac:dyDescent="0.3">
      <c r="A21" s="1" t="s">
        <v>24</v>
      </c>
      <c r="B21" s="1" t="s">
        <v>25</v>
      </c>
    </row>
    <row r="22" spans="1:2" x14ac:dyDescent="0.3">
      <c r="A22" s="2" t="s">
        <v>26</v>
      </c>
      <c r="B22" s="2" t="s">
        <v>27</v>
      </c>
    </row>
    <row r="23" spans="1:2" x14ac:dyDescent="0.3">
      <c r="A23" s="2" t="s">
        <v>28</v>
      </c>
      <c r="B23" s="2" t="s">
        <v>29</v>
      </c>
    </row>
    <row r="24" spans="1:2" x14ac:dyDescent="0.3">
      <c r="A24" s="2" t="s">
        <v>30</v>
      </c>
      <c r="B24" s="2" t="s">
        <v>31</v>
      </c>
    </row>
    <row r="25" spans="1:2" ht="28.8" x14ac:dyDescent="0.3">
      <c r="A25" s="2" t="s">
        <v>32</v>
      </c>
      <c r="B25" s="3" t="s">
        <v>33</v>
      </c>
    </row>
    <row r="26" spans="1:2" x14ac:dyDescent="0.3">
      <c r="A26" s="2" t="s">
        <v>34</v>
      </c>
      <c r="B26" s="2" t="s">
        <v>35</v>
      </c>
    </row>
    <row r="27" spans="1:2" x14ac:dyDescent="0.3">
      <c r="A27" s="2" t="s">
        <v>36</v>
      </c>
      <c r="B27" s="2" t="s">
        <v>37</v>
      </c>
    </row>
    <row r="28" spans="1:2" x14ac:dyDescent="0.3">
      <c r="A28" s="2" t="s">
        <v>38</v>
      </c>
      <c r="B28" s="3" t="s">
        <v>39</v>
      </c>
    </row>
    <row r="29" spans="1:2" x14ac:dyDescent="0.3">
      <c r="A29" s="2" t="s">
        <v>40</v>
      </c>
      <c r="B29" s="3" t="s">
        <v>41</v>
      </c>
    </row>
    <row r="30" spans="1:2" x14ac:dyDescent="0.3">
      <c r="A30" s="2" t="s">
        <v>42</v>
      </c>
      <c r="B30" s="2" t="s">
        <v>43</v>
      </c>
    </row>
  </sheetData>
  <mergeCells count="2">
    <mergeCell ref="A2:H2"/>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
  <sheetViews>
    <sheetView showGridLines="0" workbookViewId="0">
      <pane ySplit="5" topLeftCell="A12" activePane="bottomLeft" state="frozen"/>
      <selection pane="bottomLeft" activeCell="C17" sqref="C17"/>
    </sheetView>
  </sheetViews>
  <sheetFormatPr defaultColWidth="8.77734375" defaultRowHeight="14.4" x14ac:dyDescent="0.3"/>
  <cols>
    <col min="1" max="1" width="23.5546875" customWidth="1"/>
    <col min="2" max="2" width="42" customWidth="1"/>
    <col min="3" max="3" width="52" customWidth="1"/>
    <col min="4" max="4" width="16" customWidth="1"/>
  </cols>
  <sheetData>
    <row r="1" spans="1:8" ht="30" customHeight="1" x14ac:dyDescent="0.3">
      <c r="A1" s="7" t="s">
        <v>44</v>
      </c>
      <c r="B1" s="6"/>
      <c r="C1" s="6"/>
      <c r="D1" s="6"/>
      <c r="E1" s="6"/>
      <c r="F1" s="6"/>
      <c r="G1" s="6"/>
      <c r="H1" s="6"/>
    </row>
    <row r="2" spans="1:8" ht="30" customHeight="1" x14ac:dyDescent="0.3">
      <c r="A2" s="5" t="s">
        <v>45</v>
      </c>
      <c r="B2" s="6"/>
      <c r="C2" s="6"/>
      <c r="D2" s="6"/>
      <c r="E2" s="6"/>
      <c r="F2" s="6"/>
      <c r="G2" s="6"/>
      <c r="H2" s="6"/>
    </row>
    <row r="5" spans="1:8" x14ac:dyDescent="0.3">
      <c r="A5" s="1" t="s">
        <v>46</v>
      </c>
      <c r="B5" s="1" t="s">
        <v>47</v>
      </c>
      <c r="C5" s="1" t="s">
        <v>48</v>
      </c>
      <c r="D5" s="1" t="s">
        <v>49</v>
      </c>
    </row>
    <row r="6" spans="1:8" ht="28.8" x14ac:dyDescent="0.3">
      <c r="A6" s="2" t="s">
        <v>50</v>
      </c>
      <c r="B6" s="3" t="s">
        <v>51</v>
      </c>
      <c r="C6" s="2" t="s">
        <v>52</v>
      </c>
      <c r="D6" s="2" t="s">
        <v>241</v>
      </c>
    </row>
    <row r="7" spans="1:8" ht="28.8" x14ac:dyDescent="0.3">
      <c r="A7" s="2" t="s">
        <v>53</v>
      </c>
      <c r="B7" s="3" t="s">
        <v>54</v>
      </c>
      <c r="C7" s="2" t="s">
        <v>55</v>
      </c>
      <c r="D7" s="2" t="s">
        <v>241</v>
      </c>
    </row>
    <row r="8" spans="1:8" ht="43.2" x14ac:dyDescent="0.3">
      <c r="A8" s="2" t="s">
        <v>56</v>
      </c>
      <c r="B8" s="3" t="s">
        <v>57</v>
      </c>
      <c r="C8" s="2" t="s">
        <v>58</v>
      </c>
      <c r="D8" s="2" t="s">
        <v>241</v>
      </c>
      <c r="E8" s="10" t="s">
        <v>257</v>
      </c>
    </row>
    <row r="9" spans="1:8" ht="28.8" x14ac:dyDescent="0.3">
      <c r="A9" s="2" t="s">
        <v>59</v>
      </c>
      <c r="B9" s="3" t="s">
        <v>60</v>
      </c>
      <c r="C9" s="2" t="s">
        <v>61</v>
      </c>
      <c r="D9" s="2" t="s">
        <v>241</v>
      </c>
    </row>
    <row r="10" spans="1:8" ht="28.8" x14ac:dyDescent="0.3">
      <c r="A10" s="2" t="s">
        <v>62</v>
      </c>
      <c r="B10" s="3" t="s">
        <v>63</v>
      </c>
      <c r="C10" s="2" t="s">
        <v>64</v>
      </c>
      <c r="D10" s="2" t="s">
        <v>241</v>
      </c>
    </row>
    <row r="11" spans="1:8" ht="28.8" x14ac:dyDescent="0.3">
      <c r="A11" s="2" t="s">
        <v>65</v>
      </c>
      <c r="B11" s="3" t="s">
        <v>66</v>
      </c>
      <c r="C11" s="2" t="s">
        <v>67</v>
      </c>
      <c r="D11" s="2" t="s">
        <v>241</v>
      </c>
      <c r="E11" s="10" t="s">
        <v>256</v>
      </c>
    </row>
    <row r="12" spans="1:8" ht="28.8" x14ac:dyDescent="0.3">
      <c r="A12" s="2" t="s">
        <v>68</v>
      </c>
      <c r="B12" s="3" t="s">
        <v>69</v>
      </c>
      <c r="C12" s="2" t="s">
        <v>70</v>
      </c>
      <c r="D12" s="2" t="s">
        <v>241</v>
      </c>
    </row>
    <row r="13" spans="1:8" ht="43.2" x14ac:dyDescent="0.3">
      <c r="A13" s="2" t="s">
        <v>71</v>
      </c>
      <c r="B13" s="3" t="s">
        <v>72</v>
      </c>
      <c r="C13" s="2" t="s">
        <v>73</v>
      </c>
      <c r="D13" s="2" t="s">
        <v>241</v>
      </c>
    </row>
    <row r="14" spans="1:8" ht="28.8" x14ac:dyDescent="0.3">
      <c r="A14" s="2" t="s">
        <v>74</v>
      </c>
      <c r="B14" s="3" t="s">
        <v>75</v>
      </c>
      <c r="C14" s="2" t="s">
        <v>76</v>
      </c>
      <c r="D14" s="2" t="s">
        <v>241</v>
      </c>
    </row>
    <row r="15" spans="1:8" ht="28.8" x14ac:dyDescent="0.3">
      <c r="A15" s="2" t="s">
        <v>77</v>
      </c>
      <c r="B15" s="3" t="s">
        <v>78</v>
      </c>
      <c r="C15" s="2" t="s">
        <v>79</v>
      </c>
      <c r="D15" s="2" t="s">
        <v>241</v>
      </c>
    </row>
    <row r="16" spans="1:8" ht="28.8" x14ac:dyDescent="0.3">
      <c r="A16" s="2" t="s">
        <v>80</v>
      </c>
      <c r="B16" s="3" t="s">
        <v>81</v>
      </c>
      <c r="C16" s="3" t="s">
        <v>82</v>
      </c>
      <c r="D16" s="2" t="s">
        <v>241</v>
      </c>
    </row>
    <row r="17" spans="1:4" ht="28.8" x14ac:dyDescent="0.3">
      <c r="A17" s="2" t="s">
        <v>83</v>
      </c>
      <c r="B17" s="3" t="s">
        <v>84</v>
      </c>
      <c r="C17" s="3" t="s">
        <v>85</v>
      </c>
      <c r="D17" s="2" t="s">
        <v>241</v>
      </c>
    </row>
  </sheetData>
  <mergeCells count="2">
    <mergeCell ref="A2:H2"/>
    <mergeCell ref="A1:H1"/>
  </mergeCells>
  <dataValidations count="1">
    <dataValidation type="list" allowBlank="1" sqref="D6:D17" xr:uid="{00000000-0002-0000-0100-000000000000}">
      <formula1>"Done,Need Help,Skipped"</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
  <sheetViews>
    <sheetView showGridLines="0" workbookViewId="0">
      <pane ySplit="5" topLeftCell="A6" activePane="bottomLeft" state="frozen"/>
      <selection pane="bottomLeft" sqref="A1:H1"/>
    </sheetView>
  </sheetViews>
  <sheetFormatPr defaultColWidth="8.77734375" defaultRowHeight="14.4" x14ac:dyDescent="0.3"/>
  <cols>
    <col min="1" max="1" width="24" customWidth="1"/>
    <col min="2" max="2" width="95" customWidth="1"/>
    <col min="3" max="3" width="55" customWidth="1"/>
  </cols>
  <sheetData>
    <row r="1" spans="1:8" ht="30" customHeight="1" x14ac:dyDescent="0.3">
      <c r="A1" s="7" t="s">
        <v>86</v>
      </c>
      <c r="B1" s="6"/>
      <c r="C1" s="6"/>
      <c r="D1" s="6"/>
      <c r="E1" s="6"/>
      <c r="F1" s="6"/>
      <c r="G1" s="6"/>
      <c r="H1" s="6"/>
    </row>
    <row r="2" spans="1:8" ht="30" customHeight="1" x14ac:dyDescent="0.3">
      <c r="A2" s="5" t="s">
        <v>87</v>
      </c>
      <c r="B2" s="6"/>
      <c r="C2" s="6"/>
      <c r="D2" s="6"/>
      <c r="E2" s="6"/>
      <c r="F2" s="6"/>
      <c r="G2" s="6"/>
      <c r="H2" s="6"/>
    </row>
    <row r="5" spans="1:8" x14ac:dyDescent="0.3">
      <c r="A5" s="1" t="s">
        <v>88</v>
      </c>
      <c r="B5" s="1" t="s">
        <v>89</v>
      </c>
      <c r="C5" s="1" t="s">
        <v>90</v>
      </c>
    </row>
    <row r="6" spans="1:8" ht="28.8" x14ac:dyDescent="0.3">
      <c r="A6" s="2" t="s">
        <v>91</v>
      </c>
      <c r="B6" s="2" t="s">
        <v>92</v>
      </c>
      <c r="C6" s="3" t="s">
        <v>93</v>
      </c>
    </row>
    <row r="7" spans="1:8" x14ac:dyDescent="0.3">
      <c r="A7" s="2" t="s">
        <v>94</v>
      </c>
      <c r="B7" s="2" t="s">
        <v>95</v>
      </c>
      <c r="C7" s="3" t="s">
        <v>96</v>
      </c>
    </row>
    <row r="8" spans="1:8" x14ac:dyDescent="0.3">
      <c r="A8" s="2" t="s">
        <v>97</v>
      </c>
      <c r="B8" s="2" t="s">
        <v>98</v>
      </c>
      <c r="C8" s="3" t="s">
        <v>99</v>
      </c>
    </row>
    <row r="9" spans="1:8" ht="28.8" x14ac:dyDescent="0.3">
      <c r="A9" s="2" t="s">
        <v>100</v>
      </c>
      <c r="B9" s="3" t="s">
        <v>101</v>
      </c>
      <c r="C9" s="2" t="s">
        <v>102</v>
      </c>
    </row>
    <row r="10" spans="1:8" x14ac:dyDescent="0.3">
      <c r="A10" s="2" t="s">
        <v>103</v>
      </c>
      <c r="B10" s="2" t="s">
        <v>104</v>
      </c>
      <c r="C10" s="2" t="s">
        <v>105</v>
      </c>
    </row>
    <row r="11" spans="1:8" x14ac:dyDescent="0.3">
      <c r="A11" s="2" t="s">
        <v>106</v>
      </c>
      <c r="B11" s="3" t="s">
        <v>107</v>
      </c>
      <c r="C11" s="2" t="s">
        <v>108</v>
      </c>
    </row>
  </sheetData>
  <mergeCells count="2">
    <mergeCell ref="A2:H2"/>
    <mergeCell ref="A1:H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
  <sheetViews>
    <sheetView showGridLines="0" workbookViewId="0">
      <pane ySplit="5" topLeftCell="A6" activePane="bottomLeft" state="frozen"/>
      <selection pane="bottomLeft" activeCell="C9" sqref="C9"/>
    </sheetView>
  </sheetViews>
  <sheetFormatPr defaultColWidth="8.77734375" defaultRowHeight="14.4" x14ac:dyDescent="0.3"/>
  <cols>
    <col min="1" max="1" width="24" customWidth="1"/>
    <col min="2" max="2" width="85" customWidth="1"/>
    <col min="3" max="3" width="18" customWidth="1"/>
  </cols>
  <sheetData>
    <row r="1" spans="1:8" ht="30" customHeight="1" x14ac:dyDescent="0.3">
      <c r="A1" s="7" t="s">
        <v>109</v>
      </c>
      <c r="B1" s="6"/>
      <c r="C1" s="6"/>
      <c r="D1" s="6"/>
      <c r="E1" s="6"/>
      <c r="F1" s="6"/>
      <c r="G1" s="6"/>
      <c r="H1" s="6"/>
    </row>
    <row r="2" spans="1:8" ht="30" customHeight="1" x14ac:dyDescent="0.3">
      <c r="A2" s="5" t="s">
        <v>110</v>
      </c>
      <c r="B2" s="6"/>
      <c r="C2" s="6"/>
      <c r="D2" s="6"/>
      <c r="E2" s="6"/>
      <c r="F2" s="6"/>
      <c r="G2" s="6"/>
      <c r="H2" s="6"/>
    </row>
    <row r="5" spans="1:8" x14ac:dyDescent="0.3">
      <c r="A5" s="1" t="s">
        <v>111</v>
      </c>
      <c r="B5" s="1" t="s">
        <v>112</v>
      </c>
      <c r="C5" s="1" t="s">
        <v>113</v>
      </c>
    </row>
    <row r="6" spans="1:8" x14ac:dyDescent="0.3">
      <c r="A6" s="2" t="s">
        <v>17</v>
      </c>
      <c r="B6" s="3" t="s">
        <v>114</v>
      </c>
      <c r="C6" s="2" t="s">
        <v>294</v>
      </c>
    </row>
    <row r="7" spans="1:8" x14ac:dyDescent="0.3">
      <c r="A7" s="2" t="s">
        <v>19</v>
      </c>
      <c r="B7" s="2" t="s">
        <v>115</v>
      </c>
      <c r="C7" s="2" t="s">
        <v>294</v>
      </c>
    </row>
    <row r="8" spans="1:8" x14ac:dyDescent="0.3">
      <c r="A8" s="2" t="s">
        <v>21</v>
      </c>
      <c r="B8" s="2" t="s">
        <v>116</v>
      </c>
      <c r="C8" s="2" t="s">
        <v>294</v>
      </c>
    </row>
    <row r="9" spans="1:8" x14ac:dyDescent="0.3">
      <c r="A9" s="2" t="s">
        <v>117</v>
      </c>
      <c r="B9" s="3" t="s">
        <v>118</v>
      </c>
      <c r="C9" s="2" t="s">
        <v>294</v>
      </c>
    </row>
  </sheetData>
  <mergeCells count="2">
    <mergeCell ref="A2:H2"/>
    <mergeCell ref="A1:H1"/>
  </mergeCells>
  <dataValidations count="1">
    <dataValidation type="list" allowBlank="1" sqref="C6:C10" xr:uid="{00000000-0002-0000-0300-000000000000}">
      <formula1>"Yes,No,Need Review"</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4"/>
  <sheetViews>
    <sheetView showGridLines="0" zoomScale="69" workbookViewId="0">
      <pane ySplit="5" topLeftCell="A6" activePane="bottomLeft" state="frozen"/>
      <selection pane="bottomLeft" activeCell="E14" sqref="E14"/>
    </sheetView>
  </sheetViews>
  <sheetFormatPr defaultColWidth="8.77734375" defaultRowHeight="14.4" x14ac:dyDescent="0.3"/>
  <cols>
    <col min="1" max="1" width="58" customWidth="1"/>
    <col min="2" max="2" width="70" customWidth="1"/>
    <col min="3" max="3" width="38" customWidth="1"/>
  </cols>
  <sheetData>
    <row r="1" spans="1:8" ht="30" customHeight="1" x14ac:dyDescent="0.3">
      <c r="A1" s="7" t="s">
        <v>119</v>
      </c>
      <c r="B1" s="6"/>
      <c r="C1" s="6"/>
      <c r="D1" s="6"/>
      <c r="E1" s="6"/>
      <c r="F1" s="6"/>
      <c r="G1" s="6"/>
      <c r="H1" s="6"/>
    </row>
    <row r="2" spans="1:8" ht="30" customHeight="1" x14ac:dyDescent="0.3">
      <c r="A2" s="5" t="s">
        <v>120</v>
      </c>
      <c r="B2" s="6"/>
      <c r="C2" s="6"/>
      <c r="D2" s="6"/>
      <c r="E2" s="6"/>
      <c r="F2" s="6"/>
      <c r="G2" s="6"/>
      <c r="H2" s="6"/>
    </row>
    <row r="5" spans="1:8" x14ac:dyDescent="0.3">
      <c r="A5" s="1" t="s">
        <v>121</v>
      </c>
      <c r="B5" s="1" t="s">
        <v>122</v>
      </c>
      <c r="C5" s="1" t="s">
        <v>123</v>
      </c>
    </row>
    <row r="6" spans="1:8" ht="43.2" x14ac:dyDescent="0.3">
      <c r="A6" s="3" t="s">
        <v>124</v>
      </c>
      <c r="B6" s="11" t="s">
        <v>276</v>
      </c>
      <c r="C6" s="12" t="s">
        <v>277</v>
      </c>
    </row>
    <row r="7" spans="1:8" ht="28.8" x14ac:dyDescent="0.3">
      <c r="A7" s="2" t="s">
        <v>125</v>
      </c>
      <c r="B7" s="11" t="s">
        <v>278</v>
      </c>
      <c r="C7" s="12" t="s">
        <v>279</v>
      </c>
    </row>
    <row r="8" spans="1:8" ht="57.6" x14ac:dyDescent="0.3">
      <c r="A8" s="2" t="s">
        <v>126</v>
      </c>
      <c r="B8" s="11" t="s">
        <v>280</v>
      </c>
      <c r="C8" s="12" t="s">
        <v>281</v>
      </c>
    </row>
    <row r="9" spans="1:8" ht="43.2" x14ac:dyDescent="0.3">
      <c r="A9" s="2" t="s">
        <v>127</v>
      </c>
      <c r="B9" s="11" t="s">
        <v>282</v>
      </c>
      <c r="C9" s="12" t="s">
        <v>283</v>
      </c>
    </row>
    <row r="10" spans="1:8" ht="28.8" x14ac:dyDescent="0.3">
      <c r="A10" s="2" t="s">
        <v>128</v>
      </c>
      <c r="B10" s="11" t="s">
        <v>284</v>
      </c>
      <c r="C10" s="12" t="s">
        <v>285</v>
      </c>
    </row>
    <row r="11" spans="1:8" ht="72" x14ac:dyDescent="0.3">
      <c r="A11" s="3" t="s">
        <v>129</v>
      </c>
      <c r="B11" s="11" t="s">
        <v>286</v>
      </c>
      <c r="C11" s="12" t="s">
        <v>293</v>
      </c>
    </row>
    <row r="12" spans="1:8" ht="57.6" x14ac:dyDescent="0.3">
      <c r="A12" s="3" t="s">
        <v>130</v>
      </c>
      <c r="B12" s="11" t="s">
        <v>287</v>
      </c>
      <c r="C12" s="12" t="s">
        <v>288</v>
      </c>
    </row>
    <row r="13" spans="1:8" ht="43.2" x14ac:dyDescent="0.3">
      <c r="A13" s="3" t="s">
        <v>131</v>
      </c>
      <c r="B13" s="11" t="s">
        <v>289</v>
      </c>
      <c r="C13" s="12" t="s">
        <v>290</v>
      </c>
    </row>
    <row r="14" spans="1:8" ht="57.6" x14ac:dyDescent="0.3">
      <c r="A14" s="3" t="s">
        <v>132</v>
      </c>
      <c r="B14" s="11" t="s">
        <v>291</v>
      </c>
      <c r="C14" s="12" t="s">
        <v>292</v>
      </c>
    </row>
  </sheetData>
  <mergeCells count="2">
    <mergeCell ref="A2:H2"/>
    <mergeCell ref="A1:H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B14DCF-3B41-44D9-80AE-F7179952B5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Product_Master</vt:lpstr>
      <vt:lpstr>Orders_June</vt:lpstr>
      <vt:lpstr>Orders_July</vt:lpstr>
      <vt:lpstr>Cleaned_Orders</vt:lpstr>
      <vt:lpstr>Category_Summary</vt:lpstr>
      <vt:lpstr>Issued_log</vt:lpstr>
      <vt:lpstr>M6 Assignment Brief</vt:lpstr>
      <vt:lpstr>M6 Assignment Steps</vt:lpstr>
      <vt:lpstr>M6 Formula Hints</vt:lpstr>
      <vt:lpstr>M6 Submission Checklist</vt:lpstr>
      <vt:lpstr>M6 Business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Harimurti Anggriani</cp:lastModifiedBy>
  <dcterms:created xsi:type="dcterms:W3CDTF">2026-07-03T12:22:50Z</dcterms:created>
  <dcterms:modified xsi:type="dcterms:W3CDTF">2026-07-09T13:24:30Z</dcterms:modified>
</cp:coreProperties>
</file>